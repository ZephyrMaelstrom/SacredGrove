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pecies" sheetId="2" state="visible" r:id="rId4"/>
    <sheet name="Plants" sheetId="3" state="visible" r:id="rId5"/>
    <sheet name="Compounds" sheetId="4" state="visible" r:id="rId6"/>
    <sheet name="Processing" sheetId="5" state="visible" r:id="rId7"/>
    <sheet name="Seasonal Calendar" sheetId="6" state="visible" r:id="rId8"/>
    <sheet name="Biomes" sheetId="7" state="visible" r:id="rId9"/>
    <sheet name="Animal Products" sheetId="8" state="visible" r:id="rId10"/>
    <sheet name="Recipes" sheetId="9" state="visible" r:id="rId11"/>
    <sheet name="Stats" sheetId="10" state="visible" r:id="rId12"/>
  </sheets>
  <definedNames>
    <definedName function="false" hidden="true" localSheetId="2" name="_xlnm._FilterDatabase" vbProcedure="false">Plants!$A$1:$AG$95</definedName>
    <definedName function="false" hidden="true" localSheetId="1" name="_xlnm._FilterDatabase" vbProcedure="false">Species!$A$1:$V$186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<sst xmlns="http://schemas.openxmlformats.org/spreadsheetml/2006/main" count="3975" uniqueCount="1831">
  <si>
    <t xml:space="preserve">ROOTWAKE — Species &amp; Systems Database v0.1</t>
  </si>
  <si>
    <t xml:space="preserve">What this is</t>
  </si>
  <si>
    <t xml:space="preserve">The master data file for Rootwake's flora. Every recipe, order, and market price reads from these tables. The game repo (SacredGrove) keeps this workbook in data/ and reads the Species and Plants tabs with `npm run data`, which validates them and writes src/data/plants.gen.json.</t>
  </si>
  <si>
    <t xml:space="preserve">Design pyramid</t>
  </si>
  <si>
    <t xml:space="preserve">Base ≈ filler/food/carriers; Workhorse = reliable single actions; Rare Active = signature effects. Target ratio ~60/30/10 by count; see Stats tab (live formulas).</t>
  </si>
  <si>
    <t xml:space="preserve">Setting</t>
  </si>
  <si>
    <t xml:space="preserve">Southern Illinois-style ecology (Shawnee Hills, bottomlands, tallgrass remnants, limestone bluffs) plus one fictional biome — the Mycelial Hollow — where the Network surfaces. Real species carry folk-traditional uses as GAME effects only; no real dosing is modeled.</t>
  </si>
  <si>
    <t xml:space="preserve">Hidden values</t>
  </si>
  <si>
    <t xml:space="preserve">Compound codes + strength (1–10) are hidden from the player. Taste, smell, drying, burning and extraction each reveal one layer in the Field Journal.</t>
  </si>
  <si>
    <t xml:space="preserve">Toxicity</t>
  </si>
  <si>
    <t xml:space="preserve">0–10. ≥5 = harmful in game; ≥9 = lethal species, sellable only to licensed buyers, and handling without gloves applies a status. Taste column shows DO NOT TASTE for lethal species — tasting them is an in-game death/injury event.</t>
  </si>
  <si>
    <t xml:space="preserve">Months</t>
  </si>
  <si>
    <t xml:space="preserve">1–12. If Harvest Start &gt; Harvest End the window wraps the new year (e.g. 10→3 = Oct–Mar). Seed Month 0 = propagated by division/spores only.</t>
  </si>
  <si>
    <t xml:space="preserve">Editing</t>
  </si>
  <si>
    <t xml:space="preserve">Blue text = hand-entered inputs; edit freely. Black = formulas (Seasonal Calendar, Stats, Recipe value). Add species by appending rows to the Species tab; the calendar and stats extend if you copy the formula rows down.</t>
  </si>
  <si>
    <t xml:space="preserve">Fictional species</t>
  </si>
  <si>
    <t xml:space="preserve">Marked '(fictional)' in the Latin name. All other species are real and native or naturalized to the Midwest.</t>
  </si>
  <si>
    <t xml:space="preserve">Plants tab</t>
  </si>
  <si>
    <t xml:space="preserve">Ecology for the game world: one row per living plant (Species rows are harvestable PRODUCTS and join on Latin Name, so Common Mullein + Mullein Flower share one plant). Light/moisture/disturbance/fertility are 0-1 optimum + tolerance (a Gaussian width). DOY = day of year (Mar 1 = 60, Jul 1 = 182, Oct 1 = 274); a green-up later than dieback means the plant is active across winter (winter annuals). C-value approximates Illinois Floristic Quality conservatism: 6+ only grows on never-plowed ground. Mow Tolerance 0-3 = the heaviest mowing it survives (3 = weekly lawn). The game reads this tab: run `npm run data` in SacredGrove after editing.</t>
  </si>
  <si>
    <t xml:space="preserve">ID</t>
  </si>
  <si>
    <t xml:space="preserve">Common Name</t>
  </si>
  <si>
    <t xml:space="preserve">Latin Name</t>
  </si>
  <si>
    <t xml:space="preserve">Tier</t>
  </si>
  <si>
    <t xml:space="preserve">Biome</t>
  </si>
  <si>
    <t xml:space="preserve">Part Used</t>
  </si>
  <si>
    <t xml:space="preserve">Harvest Start</t>
  </si>
  <si>
    <t xml:space="preserve">Harvest End</t>
  </si>
  <si>
    <t xml:space="preserve">Seed Month</t>
  </si>
  <si>
    <t xml:space="preserve">Compound 1</t>
  </si>
  <si>
    <t xml:space="preserve">Str 1</t>
  </si>
  <si>
    <t xml:space="preserve">Compound 2</t>
  </si>
  <si>
    <t xml:space="preserve">Str 2</t>
  </si>
  <si>
    <t xml:space="preserve">Compound 3</t>
  </si>
  <si>
    <t xml:space="preserve">Str 3</t>
  </si>
  <si>
    <t xml:space="preserve">Toxicity (0-10)</t>
  </si>
  <si>
    <t xml:space="preserve">Taste (journal)</t>
  </si>
  <si>
    <t xml:space="preserve">Smell (journal)</t>
  </si>
  <si>
    <t xml:space="preserve">Primary Use / Effect</t>
  </si>
  <si>
    <t xml:space="preserve">Rarity (1-5)</t>
  </si>
  <si>
    <t xml:space="preserve">Base Price (c)</t>
  </si>
  <si>
    <t xml:space="preserve">Shelf Life (days)</t>
  </si>
  <si>
    <t xml:space="preserve">On Plants tab?</t>
  </si>
  <si>
    <t xml:space="preserve">SP001</t>
  </si>
  <si>
    <t xml:space="preserve">Lamb's Quarters</t>
  </si>
  <si>
    <t xml:space="preserve">Chenopodium album</t>
  </si>
  <si>
    <t xml:space="preserve">Base</t>
  </si>
  <si>
    <t xml:space="preserve">Disturbed Ground</t>
  </si>
  <si>
    <t xml:space="preserve">Leaf</t>
  </si>
  <si>
    <t xml:space="preserve">SUG</t>
  </si>
  <si>
    <t xml:space="preserve">ACI</t>
  </si>
  <si>
    <t xml:space="preserve">Spinach-like</t>
  </si>
  <si>
    <t xml:space="preserve">Earthy</t>
  </si>
  <si>
    <t xml:space="preserve">Filler / food</t>
  </si>
  <si>
    <t xml:space="preserve">SP002</t>
  </si>
  <si>
    <t xml:space="preserve">Chickweed</t>
  </si>
  <si>
    <t xml:space="preserve">Stellaria media</t>
  </si>
  <si>
    <t xml:space="preserve">Whole</t>
  </si>
  <si>
    <t xml:space="preserve">MUC</t>
  </si>
  <si>
    <t xml:space="preserve">SAP</t>
  </si>
  <si>
    <t xml:space="preserve">Fresh, corn-silk</t>
  </si>
  <si>
    <t xml:space="preserve">Faint</t>
  </si>
  <si>
    <t xml:space="preserve">Cooling base</t>
  </si>
  <si>
    <t xml:space="preserve">SP003</t>
  </si>
  <si>
    <t xml:space="preserve">Purple Deadnettle</t>
  </si>
  <si>
    <t xml:space="preserve">Lamium purpureum</t>
  </si>
  <si>
    <t xml:space="preserve">FLA</t>
  </si>
  <si>
    <t xml:space="preserve">VOL</t>
  </si>
  <si>
    <t xml:space="preserve">Grassy</t>
  </si>
  <si>
    <t xml:space="preserve">Musty mint</t>
  </si>
  <si>
    <t xml:space="preserve">Filler</t>
  </si>
  <si>
    <t xml:space="preserve">SP004</t>
  </si>
  <si>
    <t xml:space="preserve">Henbit</t>
  </si>
  <si>
    <t xml:space="preserve">Lamium amplexicaule</t>
  </si>
  <si>
    <t xml:space="preserve">Mild</t>
  </si>
  <si>
    <t xml:space="preserve">SP005</t>
  </si>
  <si>
    <t xml:space="preserve">Dandelion</t>
  </si>
  <si>
    <t xml:space="preserve">Taraxacum officinale</t>
  </si>
  <si>
    <t xml:space="preserve">Workhorse</t>
  </si>
  <si>
    <t xml:space="preserve">Root</t>
  </si>
  <si>
    <t xml:space="preserve">BIT</t>
  </si>
  <si>
    <t xml:space="preserve">LAT</t>
  </si>
  <si>
    <t xml:space="preserve">Bitter</t>
  </si>
  <si>
    <t xml:space="preserve">Digestive bitter / liver tonic</t>
  </si>
  <si>
    <t xml:space="preserve">SP006</t>
  </si>
  <si>
    <t xml:space="preserve">Common Blue Violet</t>
  </si>
  <si>
    <t xml:space="preserve">Viola sororia</t>
  </si>
  <si>
    <t xml:space="preserve">Upland Forest</t>
  </si>
  <si>
    <t xml:space="preserve">Mild, slick</t>
  </si>
  <si>
    <t xml:space="preserve">Faint sweet</t>
  </si>
  <si>
    <t xml:space="preserve">Thickener</t>
  </si>
  <si>
    <t xml:space="preserve">SP007</t>
  </si>
  <si>
    <t xml:space="preserve">Cleavers</t>
  </si>
  <si>
    <t xml:space="preserve">Galium aparine</t>
  </si>
  <si>
    <t xml:space="preserve">Bottomland Forest</t>
  </si>
  <si>
    <t xml:space="preserve">COU</t>
  </si>
  <si>
    <t xml:space="preserve">Green</t>
  </si>
  <si>
    <t xml:space="preserve">Hay</t>
  </si>
  <si>
    <t xml:space="preserve">Strainer / lymph wash</t>
  </si>
  <si>
    <t xml:space="preserve">SP008</t>
  </si>
  <si>
    <t xml:space="preserve">Wood Sorrel</t>
  </si>
  <si>
    <t xml:space="preserve">Oxalis stricta</t>
  </si>
  <si>
    <t xml:space="preserve">Sour, lemony</t>
  </si>
  <si>
    <t xml:space="preserve">None</t>
  </si>
  <si>
    <t xml:space="preserve">Acidifier</t>
  </si>
  <si>
    <t xml:space="preserve">SP009</t>
  </si>
  <si>
    <t xml:space="preserve">Sheep Sorrel</t>
  </si>
  <si>
    <t xml:space="preserve">Rumex acetosella</t>
  </si>
  <si>
    <t xml:space="preserve">Prairie</t>
  </si>
  <si>
    <t xml:space="preserve">TAN</t>
  </si>
  <si>
    <t xml:space="preserve">Sour</t>
  </si>
  <si>
    <t xml:space="preserve">SP010</t>
  </si>
  <si>
    <t xml:space="preserve">Curly Dock</t>
  </si>
  <si>
    <t xml:space="preserve">Rumex crispus</t>
  </si>
  <si>
    <t xml:space="preserve">GLY</t>
  </si>
  <si>
    <t xml:space="preserve">PIG</t>
  </si>
  <si>
    <t xml:space="preserve">Bitter, astringent</t>
  </si>
  <si>
    <t xml:space="preserve">Purgative / yellow dye</t>
  </si>
  <si>
    <t xml:space="preserve">SP011</t>
  </si>
  <si>
    <t xml:space="preserve">Red Clover</t>
  </si>
  <si>
    <t xml:space="preserve">Trifolium pratense</t>
  </si>
  <si>
    <t xml:space="preserve">Flower</t>
  </si>
  <si>
    <t xml:space="preserve">Sweet</t>
  </si>
  <si>
    <t xml:space="preserve">Honeyed</t>
  </si>
  <si>
    <t xml:space="preserve">Flavor mask (sweet)</t>
  </si>
  <si>
    <t xml:space="preserve">SP012</t>
  </si>
  <si>
    <t xml:space="preserve">White Clover</t>
  </si>
  <si>
    <t xml:space="preserve">Trifolium repens</t>
  </si>
  <si>
    <t xml:space="preserve">Bee forage / filler</t>
  </si>
  <si>
    <t xml:space="preserve">SP013</t>
  </si>
  <si>
    <t xml:space="preserve">Wild Strawberry</t>
  </si>
  <si>
    <t xml:space="preserve">Fragaria virginiana</t>
  </si>
  <si>
    <t xml:space="preserve">Fruit</t>
  </si>
  <si>
    <t xml:space="preserve">ANT</t>
  </si>
  <si>
    <t xml:space="preserve">Sweet-tart</t>
  </si>
  <si>
    <t xml:space="preserve">Fruity</t>
  </si>
  <si>
    <t xml:space="preserve">Flavor mask (fruit)</t>
  </si>
  <si>
    <t xml:space="preserve">SP014</t>
  </si>
  <si>
    <t xml:space="preserve">Riverbank Grape</t>
  </si>
  <si>
    <t xml:space="preserve">Vitis riparia</t>
  </si>
  <si>
    <t xml:space="preserve">Riverbank</t>
  </si>
  <si>
    <t xml:space="preserve">Tart</t>
  </si>
  <si>
    <t xml:space="preserve">Musky</t>
  </si>
  <si>
    <t xml:space="preserve">Ferment base</t>
  </si>
  <si>
    <t xml:space="preserve">SP015</t>
  </si>
  <si>
    <t xml:space="preserve">Black Raspberry</t>
  </si>
  <si>
    <t xml:space="preserve">Rubus occidentalis</t>
  </si>
  <si>
    <t xml:space="preserve">Oak Savanna</t>
  </si>
  <si>
    <t xml:space="preserve">Berry</t>
  </si>
  <si>
    <t xml:space="preserve">Dye: purple / flavor</t>
  </si>
  <si>
    <t xml:space="preserve">SP016</t>
  </si>
  <si>
    <t xml:space="preserve">Blackberry Leaf</t>
  </si>
  <si>
    <t xml:space="preserve">Rubus allegheniensis</t>
  </si>
  <si>
    <t xml:space="preserve">Astringent</t>
  </si>
  <si>
    <t xml:space="preserve">Tea-like</t>
  </si>
  <si>
    <t xml:space="preserve">Astringent base</t>
  </si>
  <si>
    <t xml:space="preserve">SP017</t>
  </si>
  <si>
    <t xml:space="preserve">Red Mulberry</t>
  </si>
  <si>
    <t xml:space="preserve">Morus rubra</t>
  </si>
  <si>
    <t xml:space="preserve">Very sweet</t>
  </si>
  <si>
    <t xml:space="preserve">Sweetener / dye</t>
  </si>
  <si>
    <t xml:space="preserve">SP018</t>
  </si>
  <si>
    <t xml:space="preserve">Pawpaw</t>
  </si>
  <si>
    <t xml:space="preserve">Asimina triloba</t>
  </si>
  <si>
    <t xml:space="preserve">Custard, tropical</t>
  </si>
  <si>
    <t xml:space="preserve">Banana</t>
  </si>
  <si>
    <t xml:space="preserve">Sweetener (spoils fast)</t>
  </si>
  <si>
    <t xml:space="preserve">SP019</t>
  </si>
  <si>
    <t xml:space="preserve">Persimmon</t>
  </si>
  <si>
    <t xml:space="preserve">Diospyros virginiana</t>
  </si>
  <si>
    <t xml:space="preserve">Honey-sweet when ripe, chalky if not</t>
  </si>
  <si>
    <t xml:space="preserve">Date</t>
  </si>
  <si>
    <t xml:space="preserve">Sweetener</t>
  </si>
  <si>
    <t xml:space="preserve">SP020</t>
  </si>
  <si>
    <t xml:space="preserve">Shagbark Hickory Nut</t>
  </si>
  <si>
    <t xml:space="preserve">Carya ovata</t>
  </si>
  <si>
    <t xml:space="preserve">Seed</t>
  </si>
  <si>
    <t xml:space="preserve">RES</t>
  </si>
  <si>
    <t xml:space="preserve">Buttery</t>
  </si>
  <si>
    <t xml:space="preserve">Nutty</t>
  </si>
  <si>
    <t xml:space="preserve">Oil press</t>
  </si>
  <si>
    <t xml:space="preserve">SP021</t>
  </si>
  <si>
    <t xml:space="preserve">Black Walnut Hull</t>
  </si>
  <si>
    <t xml:space="preserve">Juglans nigra</t>
  </si>
  <si>
    <t xml:space="preserve">Harsh, bitter</t>
  </si>
  <si>
    <t xml:space="preserve">Citrus-resin</t>
  </si>
  <si>
    <t xml:space="preserve">Dye: brown / antifungal</t>
  </si>
  <si>
    <t xml:space="preserve">SP022</t>
  </si>
  <si>
    <t xml:space="preserve">White Oak Acorn</t>
  </si>
  <si>
    <t xml:space="preserve">Quercus alba</t>
  </si>
  <si>
    <t xml:space="preserve">Starch (leach first)</t>
  </si>
  <si>
    <t xml:space="preserve">SP023</t>
  </si>
  <si>
    <t xml:space="preserve">White Oak Bark</t>
  </si>
  <si>
    <t xml:space="preserve">Bark</t>
  </si>
  <si>
    <t xml:space="preserve">Extremely astringent</t>
  </si>
  <si>
    <t xml:space="preserve">Woody</t>
  </si>
  <si>
    <t xml:space="preserve">Wound wash / leather tanning</t>
  </si>
  <si>
    <t xml:space="preserve">SP024</t>
  </si>
  <si>
    <t xml:space="preserve">Shagbark Hickory Bark</t>
  </si>
  <si>
    <t xml:space="preserve">Smoky-sweet</t>
  </si>
  <si>
    <t xml:space="preserve">Maple-smoke</t>
  </si>
  <si>
    <t xml:space="preserve">Syrup base</t>
  </si>
  <si>
    <t xml:space="preserve">SP025</t>
  </si>
  <si>
    <t xml:space="preserve">Sugar Maple Sap</t>
  </si>
  <si>
    <t xml:space="preserve">Acer saccharum</t>
  </si>
  <si>
    <t xml:space="preserve">Sap</t>
  </si>
  <si>
    <t xml:space="preserve">Faintly sweet</t>
  </si>
  <si>
    <t xml:space="preserve">Syrup / solvent</t>
  </si>
  <si>
    <t xml:space="preserve">SP026</t>
  </si>
  <si>
    <t xml:space="preserve">Box Elder Sap</t>
  </si>
  <si>
    <t xml:space="preserve">Acer negundo</t>
  </si>
  <si>
    <t xml:space="preserve">Syrup (weak)</t>
  </si>
  <si>
    <t xml:space="preserve">SP027</t>
  </si>
  <si>
    <t xml:space="preserve">Cattail Rhizome</t>
  </si>
  <si>
    <t xml:space="preserve">Typha latifolia</t>
  </si>
  <si>
    <t xml:space="preserve">Wetland</t>
  </si>
  <si>
    <t xml:space="preserve">Rhizome</t>
  </si>
  <si>
    <t xml:space="preserve">Starchy</t>
  </si>
  <si>
    <t xml:space="preserve">Mud</t>
  </si>
  <si>
    <t xml:space="preserve">Starch / binder</t>
  </si>
  <si>
    <t xml:space="preserve">SP028</t>
  </si>
  <si>
    <t xml:space="preserve">Cattail Pollen</t>
  </si>
  <si>
    <t xml:space="preserve">Corn-like</t>
  </si>
  <si>
    <t xml:space="preserve">Flour / dusting powder</t>
  </si>
  <si>
    <t xml:space="preserve">SP029</t>
  </si>
  <si>
    <t xml:space="preserve">Broadleaf Arrowhead</t>
  </si>
  <si>
    <t xml:space="preserve">Sagittaria latifolia</t>
  </si>
  <si>
    <t xml:space="preserve">Potato</t>
  </si>
  <si>
    <t xml:space="preserve">Starch</t>
  </si>
  <si>
    <t xml:space="preserve">SP030</t>
  </si>
  <si>
    <t xml:space="preserve">Wild Rice</t>
  </si>
  <si>
    <t xml:space="preserve">Zizania aquatica</t>
  </si>
  <si>
    <t xml:space="preserve">Grain</t>
  </si>
  <si>
    <t xml:space="preserve">Food filler</t>
  </si>
  <si>
    <t xml:space="preserve">SP031</t>
  </si>
  <si>
    <t xml:space="preserve">Pickerelweed</t>
  </si>
  <si>
    <t xml:space="preserve">Pontederia cordata</t>
  </si>
  <si>
    <t xml:space="preserve">SP032</t>
  </si>
  <si>
    <t xml:space="preserve">Sweetflag</t>
  </si>
  <si>
    <t xml:space="preserve">Acorus calamus</t>
  </si>
  <si>
    <t xml:space="preserve">Bitter, ginger-like</t>
  </si>
  <si>
    <t xml:space="preserve">Spicy perfume</t>
  </si>
  <si>
    <t xml:space="preserve">Stimulant / voice clarity</t>
  </si>
  <si>
    <t xml:space="preserve">SP033</t>
  </si>
  <si>
    <t xml:space="preserve">Duckweed</t>
  </si>
  <si>
    <t xml:space="preserve">Lemna minor</t>
  </si>
  <si>
    <t xml:space="preserve">Bland</t>
  </si>
  <si>
    <t xml:space="preserve">Pond</t>
  </si>
  <si>
    <t xml:space="preserve">Compost accelerant</t>
  </si>
  <si>
    <t xml:space="preserve">SP034</t>
  </si>
  <si>
    <t xml:space="preserve">Common Reed</t>
  </si>
  <si>
    <t xml:space="preserve">Phragmites australis</t>
  </si>
  <si>
    <t xml:space="preserve">Sweet-starchy</t>
  </si>
  <si>
    <t xml:space="preserve">Filler / straw</t>
  </si>
  <si>
    <t xml:space="preserve">SP035</t>
  </si>
  <si>
    <t xml:space="preserve">Field Horsetail</t>
  </si>
  <si>
    <t xml:space="preserve">Equisetum arvense</t>
  </si>
  <si>
    <t xml:space="preserve">Gritty</t>
  </si>
  <si>
    <t xml:space="preserve">Abrasive / polish</t>
  </si>
  <si>
    <t xml:space="preserve">SP036</t>
  </si>
  <si>
    <t xml:space="preserve">Scouring Rush</t>
  </si>
  <si>
    <t xml:space="preserve">Equisetum hyemale</t>
  </si>
  <si>
    <t xml:space="preserve">Abrasive / tool sharpening</t>
  </si>
  <si>
    <t xml:space="preserve">SP037</t>
  </si>
  <si>
    <t xml:space="preserve">Jewelweed</t>
  </si>
  <si>
    <t xml:space="preserve">Impatiens capensis</t>
  </si>
  <si>
    <t xml:space="preserve">Watery</t>
  </si>
  <si>
    <t xml:space="preserve">Itch &amp; rash wash (counters Poison Ivy)</t>
  </si>
  <si>
    <t xml:space="preserve">SP038</t>
  </si>
  <si>
    <t xml:space="preserve">Stinging Nettle</t>
  </si>
  <si>
    <t xml:space="preserve">Urtica dioica</t>
  </si>
  <si>
    <t xml:space="preserve">Rich, green</t>
  </si>
  <si>
    <t xml:space="preserve">Spinach</t>
  </si>
  <si>
    <t xml:space="preserve">Strength tonic</t>
  </si>
  <si>
    <t xml:space="preserve">SP039</t>
  </si>
  <si>
    <t xml:space="preserve">Wood Nettle</t>
  </si>
  <si>
    <t xml:space="preserve">Laportea canadensis</t>
  </si>
  <si>
    <t xml:space="preserve">Fiber / filler</t>
  </si>
  <si>
    <t xml:space="preserve">SP040</t>
  </si>
  <si>
    <t xml:space="preserve">Burdock</t>
  </si>
  <si>
    <t xml:space="preserve">Arctium minus</t>
  </si>
  <si>
    <t xml:space="preserve">Earthy-sweet</t>
  </si>
  <si>
    <t xml:space="preserve">Soil</t>
  </si>
  <si>
    <t xml:space="preserve">Blood cleanse / skin</t>
  </si>
  <si>
    <t xml:space="preserve">SP041</t>
  </si>
  <si>
    <t xml:space="preserve">Curly Dock Seed</t>
  </si>
  <si>
    <t xml:space="preserve">Dye: rust</t>
  </si>
  <si>
    <t xml:space="preserve">SP042</t>
  </si>
  <si>
    <t xml:space="preserve">Pokeweed Root</t>
  </si>
  <si>
    <t xml:space="preserve">Phytolacca americana</t>
  </si>
  <si>
    <t xml:space="preserve">ALK</t>
  </si>
  <si>
    <t xml:space="preserve">Acrid</t>
  </si>
  <si>
    <t xml:space="preserve">Rank</t>
  </si>
  <si>
    <t xml:space="preserve">Potent purge — dangerous</t>
  </si>
  <si>
    <t xml:space="preserve">SP043</t>
  </si>
  <si>
    <t xml:space="preserve">Pokeweed Berry</t>
  </si>
  <si>
    <t xml:space="preserve">Bland, then burning</t>
  </si>
  <si>
    <t xml:space="preserve">Dye: magenta (toxic)</t>
  </si>
  <si>
    <t xml:space="preserve">SP044</t>
  </si>
  <si>
    <t xml:space="preserve">Common Mullein</t>
  </si>
  <si>
    <t xml:space="preserve">Verbascum thapsus</t>
  </si>
  <si>
    <t xml:space="preserve">Fuzzy, bland</t>
  </si>
  <si>
    <t xml:space="preserve">Lung soothe / smoke blend</t>
  </si>
  <si>
    <t xml:space="preserve">SP045</t>
  </si>
  <si>
    <t xml:space="preserve">Mullein Flower</t>
  </si>
  <si>
    <t xml:space="preserve">Honey</t>
  </si>
  <si>
    <t xml:space="preserve">Ear-oil carrier</t>
  </si>
  <si>
    <t xml:space="preserve">SP046</t>
  </si>
  <si>
    <t xml:space="preserve">Common Yarrow</t>
  </si>
  <si>
    <t xml:space="preserve">Achillea millefolium</t>
  </si>
  <si>
    <t xml:space="preserve">Bitter, camphor</t>
  </si>
  <si>
    <t xml:space="preserve">Medicinal</t>
  </si>
  <si>
    <t xml:space="preserve">Stop bleeding / fever sweat</t>
  </si>
  <si>
    <t xml:space="preserve">SP047</t>
  </si>
  <si>
    <t xml:space="preserve">Queen Anne's Lace Seed</t>
  </si>
  <si>
    <t xml:space="preserve">Daucus carota</t>
  </si>
  <si>
    <t xml:space="preserve">Carroty-spicy</t>
  </si>
  <si>
    <t xml:space="preserve">Carrot</t>
  </si>
  <si>
    <t xml:space="preserve">Seed spice</t>
  </si>
  <si>
    <t xml:space="preserve">SP048</t>
  </si>
  <si>
    <t xml:space="preserve">Wild Parsnip</t>
  </si>
  <si>
    <t xml:space="preserve">Pastinaca sativa</t>
  </si>
  <si>
    <t xml:space="preserve">Sweet, then harsh</t>
  </si>
  <si>
    <t xml:space="preserve">Parsnip</t>
  </si>
  <si>
    <t xml:space="preserve">Sun-burn trap (photo-reactive sap)</t>
  </si>
  <si>
    <t xml:space="preserve">SP049</t>
  </si>
  <si>
    <t xml:space="preserve">Poison Hemlock</t>
  </si>
  <si>
    <t xml:space="preserve">Conium maculatum</t>
  </si>
  <si>
    <t xml:space="preserve">DO NOT TASTE</t>
  </si>
  <si>
    <t xml:space="preserve">Mousy</t>
  </si>
  <si>
    <t xml:space="preserve">Lethal paralytic — licensed buyers only</t>
  </si>
  <si>
    <t xml:space="preserve">SP050</t>
  </si>
  <si>
    <t xml:space="preserve">Water Hemlock</t>
  </si>
  <si>
    <t xml:space="preserve">Cicuta maculata</t>
  </si>
  <si>
    <t xml:space="preserve">Carrot-like</t>
  </si>
  <si>
    <t xml:space="preserve">Lethal convulsant — licensed buyers only</t>
  </si>
  <si>
    <t xml:space="preserve">SP051</t>
  </si>
  <si>
    <t xml:space="preserve">Jimsonweed</t>
  </si>
  <si>
    <t xml:space="preserve">Datura stramonium</t>
  </si>
  <si>
    <t xml:space="preserve">Delirium; night-sight brews at a razor margin</t>
  </si>
  <si>
    <t xml:space="preserve">SP052</t>
  </si>
  <si>
    <t xml:space="preserve">Common Milkweed</t>
  </si>
  <si>
    <t xml:space="preserve">Asclepias syriaca</t>
  </si>
  <si>
    <t xml:space="preserve">Floss fiber / insulation</t>
  </si>
  <si>
    <t xml:space="preserve">SP053</t>
  </si>
  <si>
    <t xml:space="preserve">Butterfly Weed</t>
  </si>
  <si>
    <t xml:space="preserve">Asclepias tuberosa</t>
  </si>
  <si>
    <t xml:space="preserve">Pleurisy root — chest</t>
  </si>
  <si>
    <t xml:space="preserve">SP054</t>
  </si>
  <si>
    <t xml:space="preserve">Purple Coneflower</t>
  </si>
  <si>
    <t xml:space="preserve">Echinacea purpurea</t>
  </si>
  <si>
    <t xml:space="preserve">Tingling, numbing</t>
  </si>
  <si>
    <t xml:space="preserve">Ward illness (tongue-tingle is the quality test)</t>
  </si>
  <si>
    <t xml:space="preserve">SP055</t>
  </si>
  <si>
    <t xml:space="preserve">Pale Purple Coneflower</t>
  </si>
  <si>
    <t xml:space="preserve">Echinacea pallida</t>
  </si>
  <si>
    <t xml:space="preserve">Strong tingle</t>
  </si>
  <si>
    <t xml:space="preserve">Stronger ward</t>
  </si>
  <si>
    <t xml:space="preserve">SP056</t>
  </si>
  <si>
    <t xml:space="preserve">Wild Bergamot</t>
  </si>
  <si>
    <t xml:space="preserve">Monarda fistulosa</t>
  </si>
  <si>
    <t xml:space="preserve">Oregano-hot</t>
  </si>
  <si>
    <t xml:space="preserve">Thyme-mint</t>
  </si>
  <si>
    <t xml:space="preserve">Antiseptic steam</t>
  </si>
  <si>
    <t xml:space="preserve">SP057</t>
  </si>
  <si>
    <t xml:space="preserve">Virginia Mountain Mint</t>
  </si>
  <si>
    <t xml:space="preserve">Pycnanthemum virginianum</t>
  </si>
  <si>
    <t xml:space="preserve">Cooling</t>
  </si>
  <si>
    <t xml:space="preserve">Strong mint</t>
  </si>
  <si>
    <t xml:space="preserve">Flavor mask (mint)</t>
  </si>
  <si>
    <t xml:space="preserve">SP058</t>
  </si>
  <si>
    <t xml:space="preserve">Anise Hyssop</t>
  </si>
  <si>
    <t xml:space="preserve">Agastache foeniculum</t>
  </si>
  <si>
    <t xml:space="preserve">Licorice</t>
  </si>
  <si>
    <t xml:space="preserve">Anise</t>
  </si>
  <si>
    <t xml:space="preserve">Flavor mask (licorice)</t>
  </si>
  <si>
    <t xml:space="preserve">SP059</t>
  </si>
  <si>
    <t xml:space="preserve">Wild Ginger</t>
  </si>
  <si>
    <t xml:space="preserve">Asarum canadense</t>
  </si>
  <si>
    <t xml:space="preserve">Gingery-hot</t>
  </si>
  <si>
    <t xml:space="preserve">Spicy</t>
  </si>
  <si>
    <t xml:space="preserve">Warming / digestion — kidney strain if overused</t>
  </si>
  <si>
    <t xml:space="preserve">SP060</t>
  </si>
  <si>
    <t xml:space="preserve">Mayapple Rhizome</t>
  </si>
  <si>
    <t xml:space="preserve">Podophyllum peltatum</t>
  </si>
  <si>
    <t xml:space="preserve">Caustic — wart removal only</t>
  </si>
  <si>
    <t xml:space="preserve">SP061</t>
  </si>
  <si>
    <t xml:space="preserve">Mayapple Fruit</t>
  </si>
  <si>
    <t xml:space="preserve">Tropical</t>
  </si>
  <si>
    <t xml:space="preserve">Lemon</t>
  </si>
  <si>
    <t xml:space="preserve">Treat (ripe only — unripe is toxic)</t>
  </si>
  <si>
    <t xml:space="preserve">SP062</t>
  </si>
  <si>
    <t xml:space="preserve">Bloodroot</t>
  </si>
  <si>
    <t xml:space="preserve">Sanguinaria canadensis</t>
  </si>
  <si>
    <t xml:space="preserve">Rare Active</t>
  </si>
  <si>
    <t xml:space="preserve">Burning</t>
  </si>
  <si>
    <t xml:space="preserve">Red dye; escharotic; ritual-prepped 'Truthpaint' reveals lies</t>
  </si>
  <si>
    <t xml:space="preserve">SP063</t>
  </si>
  <si>
    <t xml:space="preserve">Goldenseal</t>
  </si>
  <si>
    <t xml:space="preserve">Hydrastis canadensis</t>
  </si>
  <si>
    <t xml:space="preserve">Intensely bitter</t>
  </si>
  <si>
    <t xml:space="preserve">Musty</t>
  </si>
  <si>
    <t xml:space="preserve">Strongest anti-infective; patches crash if overharvested</t>
  </si>
  <si>
    <t xml:space="preserve">SP064</t>
  </si>
  <si>
    <t xml:space="preserve">American Ginseng</t>
  </si>
  <si>
    <t xml:space="preserve">Panax quinquefolius</t>
  </si>
  <si>
    <t xml:space="preserve">Bittersweet</t>
  </si>
  <si>
    <t xml:space="preserve">Stamina — potency scales with root age (count the neck scars)</t>
  </si>
  <si>
    <t xml:space="preserve">SP065</t>
  </si>
  <si>
    <t xml:space="preserve">Black Cohosh</t>
  </si>
  <si>
    <t xml:space="preserve">Actaea racemosa</t>
  </si>
  <si>
    <t xml:space="preserve">Bitter, acrid</t>
  </si>
  <si>
    <t xml:space="preserve">Muscle relaxant</t>
  </si>
  <si>
    <t xml:space="preserve">SP066</t>
  </si>
  <si>
    <t xml:space="preserve">Blue Cohosh</t>
  </si>
  <si>
    <t xml:space="preserve">Caulophyllum thalictroides</t>
  </si>
  <si>
    <t xml:space="preserve">Uterine — expert-only orders</t>
  </si>
  <si>
    <t xml:space="preserve">SP067</t>
  </si>
  <si>
    <t xml:space="preserve">Solomon's Seal</t>
  </si>
  <si>
    <t xml:space="preserve">Polygonatum biflorum</t>
  </si>
  <si>
    <t xml:space="preserve">Sweet, slick</t>
  </si>
  <si>
    <t xml:space="preserve">Joint &amp; tendon repair</t>
  </si>
  <si>
    <t xml:space="preserve">SP068</t>
  </si>
  <si>
    <t xml:space="preserve">Prairie Trillium</t>
  </si>
  <si>
    <t xml:space="preserve">Trillium recurvatum</t>
  </si>
  <si>
    <t xml:space="preserve">Birthroot — 7 seasons to regrow</t>
  </si>
  <si>
    <t xml:space="preserve">SP069</t>
  </si>
  <si>
    <t xml:space="preserve">Spring Beauty</t>
  </si>
  <si>
    <t xml:space="preserve">Claytonia virginica</t>
  </si>
  <si>
    <t xml:space="preserve">Chestnut</t>
  </si>
  <si>
    <t xml:space="preserve">Food</t>
  </si>
  <si>
    <t xml:space="preserve">SP070</t>
  </si>
  <si>
    <t xml:space="preserve">Dutchman's Breeches</t>
  </si>
  <si>
    <t xml:space="preserve">Dicentra cucullaria</t>
  </si>
  <si>
    <t xml:space="preserve">Mild sedative — toxic</t>
  </si>
  <si>
    <t xml:space="preserve">SP071</t>
  </si>
  <si>
    <t xml:space="preserve">Cutleaf Toothwort</t>
  </si>
  <si>
    <t xml:space="preserve">Cardamine concatenata</t>
  </si>
  <si>
    <t xml:space="preserve">Peppery horseradish</t>
  </si>
  <si>
    <t xml:space="preserve">Pungent</t>
  </si>
  <si>
    <t xml:space="preserve">Flavor (heat)</t>
  </si>
  <si>
    <t xml:space="preserve">SP072</t>
  </si>
  <si>
    <t xml:space="preserve">Ramps</t>
  </si>
  <si>
    <t xml:space="preserve">Allium tricoccum</t>
  </si>
  <si>
    <t xml:space="preserve">Bulb</t>
  </si>
  <si>
    <t xml:space="preserve">Garlic-onion</t>
  </si>
  <si>
    <t xml:space="preserve">Garlic</t>
  </si>
  <si>
    <t xml:space="preserve">Ward vermin / circulation</t>
  </si>
  <si>
    <t xml:space="preserve">SP073</t>
  </si>
  <si>
    <t xml:space="preserve">Wild Garlic</t>
  </si>
  <si>
    <t xml:space="preserve">Allium canadense</t>
  </si>
  <si>
    <t xml:space="preserve">Flavor / antimicrobial</t>
  </si>
  <si>
    <t xml:space="preserve">SP074</t>
  </si>
  <si>
    <t xml:space="preserve">Garlic Mustard</t>
  </si>
  <si>
    <t xml:space="preserve">Alliaria petiolata</t>
  </si>
  <si>
    <t xml:space="preserve">Garlic-bitter</t>
  </si>
  <si>
    <t xml:space="preserve">Invasive (reputation bonus for culling)</t>
  </si>
  <si>
    <t xml:space="preserve">SP075</t>
  </si>
  <si>
    <t xml:space="preserve">Sassafras Root Bark</t>
  </si>
  <si>
    <t xml:space="preserve">Sassafras albidum</t>
  </si>
  <si>
    <t xml:space="preserve">Root beer</t>
  </si>
  <si>
    <t xml:space="preserve">Flavor / blood tonic — chronic toxicity</t>
  </si>
  <si>
    <t xml:space="preserve">SP076</t>
  </si>
  <si>
    <t xml:space="preserve">Spicebush Twig</t>
  </si>
  <si>
    <t xml:space="preserve">Lindera benzoin</t>
  </si>
  <si>
    <t xml:space="preserve">Twig</t>
  </si>
  <si>
    <t xml:space="preserve">Allspice</t>
  </si>
  <si>
    <t xml:space="preserve">Citrus-spice</t>
  </si>
  <si>
    <t xml:space="preserve">Fever / warming</t>
  </si>
  <si>
    <t xml:space="preserve">SP077</t>
  </si>
  <si>
    <t xml:space="preserve">Spicebush Berry</t>
  </si>
  <si>
    <t xml:space="preserve">Allspice-pepper</t>
  </si>
  <si>
    <t xml:space="preserve">Spice</t>
  </si>
  <si>
    <t xml:space="preserve">SP078</t>
  </si>
  <si>
    <t xml:space="preserve">Slippery Elm</t>
  </si>
  <si>
    <t xml:space="preserve">Ulmus rubra</t>
  </si>
  <si>
    <t xml:space="preserve">Slimy, sweet</t>
  </si>
  <si>
    <t xml:space="preserve">Maple</t>
  </si>
  <si>
    <t xml:space="preserve">Throat &amp; gut coat — premium binder</t>
  </si>
  <si>
    <t xml:space="preserve">SP079</t>
  </si>
  <si>
    <t xml:space="preserve">Black Willow Bark</t>
  </si>
  <si>
    <t xml:space="preserve">Salix nigra</t>
  </si>
  <si>
    <t xml:space="preserve">Pain &amp; fever</t>
  </si>
  <si>
    <t xml:space="preserve">SP080</t>
  </si>
  <si>
    <t xml:space="preserve">Wild Cherry Bark</t>
  </si>
  <si>
    <t xml:space="preserve">Prunus serotina</t>
  </si>
  <si>
    <t xml:space="preserve">Bitter almond</t>
  </si>
  <si>
    <t xml:space="preserve">Almond</t>
  </si>
  <si>
    <t xml:space="preserve">Cough sedative — cyanogenic</t>
  </si>
  <si>
    <t xml:space="preserve">SP081</t>
  </si>
  <si>
    <t xml:space="preserve">Wild Cherry Fruit</t>
  </si>
  <si>
    <t xml:space="preserve">Cherry</t>
  </si>
  <si>
    <t xml:space="preserve">Cordial base</t>
  </si>
  <si>
    <t xml:space="preserve">SP082</t>
  </si>
  <si>
    <t xml:space="preserve">Witch Hazel</t>
  </si>
  <si>
    <t xml:space="preserve">Hamamelis virginiana</t>
  </si>
  <si>
    <t xml:space="preserve">Astringent wash</t>
  </si>
  <si>
    <t xml:space="preserve">SP083</t>
  </si>
  <si>
    <t xml:space="preserve">Staghorn Sumac Berry</t>
  </si>
  <si>
    <t xml:space="preserve">Rhus typhina</t>
  </si>
  <si>
    <t xml:space="preserve">Lemony</t>
  </si>
  <si>
    <t xml:space="preserve">Acidifier / dye</t>
  </si>
  <si>
    <t xml:space="preserve">SP084</t>
  </si>
  <si>
    <t xml:space="preserve">Smooth Sumac Leaf</t>
  </si>
  <si>
    <t xml:space="preserve">Rhus glabra</t>
  </si>
  <si>
    <t xml:space="preserve">Tanning</t>
  </si>
  <si>
    <t xml:space="preserve">SP085</t>
  </si>
  <si>
    <t xml:space="preserve">Poison Ivy</t>
  </si>
  <si>
    <t xml:space="preserve">Toxicodendron radicans</t>
  </si>
  <si>
    <t xml:space="preserve">NEVER HANDLE BARE</t>
  </si>
  <si>
    <t xml:space="preserve">Contaminant — ruins any batch it touches</t>
  </si>
  <si>
    <t xml:space="preserve">SP086</t>
  </si>
  <si>
    <t xml:space="preserve">Elderberry</t>
  </si>
  <si>
    <t xml:space="preserve">Sambucus canadensis</t>
  </si>
  <si>
    <t xml:space="preserve">Immunity syrup — must be cooked</t>
  </si>
  <si>
    <t xml:space="preserve">SP087</t>
  </si>
  <si>
    <t xml:space="preserve">Elderflower</t>
  </si>
  <si>
    <t xml:space="preserve">Floral</t>
  </si>
  <si>
    <t xml:space="preserve">Muscat</t>
  </si>
  <si>
    <t xml:space="preserve">Fever sweat / cordial</t>
  </si>
  <si>
    <t xml:space="preserve">SP088</t>
  </si>
  <si>
    <t xml:space="preserve">Downy Hawthorn</t>
  </si>
  <si>
    <t xml:space="preserve">Crataegus mollis</t>
  </si>
  <si>
    <t xml:space="preserve">Mealy, tart</t>
  </si>
  <si>
    <t xml:space="preserve">Apple</t>
  </si>
  <si>
    <t xml:space="preserve">Heart tonic</t>
  </si>
  <si>
    <t xml:space="preserve">SP089</t>
  </si>
  <si>
    <t xml:space="preserve">Pasture Rose Hip</t>
  </si>
  <si>
    <t xml:space="preserve">Rosa carolina</t>
  </si>
  <si>
    <t xml:space="preserve">Vitality / scurvy cure</t>
  </si>
  <si>
    <t xml:space="preserve">SP090</t>
  </si>
  <si>
    <t xml:space="preserve">Pasture Rose Petal</t>
  </si>
  <si>
    <t xml:space="preserve">Rose</t>
  </si>
  <si>
    <t xml:space="preserve">Perfume / flavor</t>
  </si>
  <si>
    <t xml:space="preserve">SP091</t>
  </si>
  <si>
    <t xml:space="preserve">Basswood Flower</t>
  </si>
  <si>
    <t xml:space="preserve">Tilia americana</t>
  </si>
  <si>
    <t xml:space="preserve">Linden</t>
  </si>
  <si>
    <t xml:space="preserve">Calm / sleep</t>
  </si>
  <si>
    <t xml:space="preserve">SP092</t>
  </si>
  <si>
    <t xml:space="preserve">Catnip</t>
  </si>
  <si>
    <t xml:space="preserve">Nepeta cataria</t>
  </si>
  <si>
    <t xml:space="preserve">Old Homestead</t>
  </si>
  <si>
    <t xml:space="preserve">Minty-bitter</t>
  </si>
  <si>
    <t xml:space="preserve">Mint-musk</t>
  </si>
  <si>
    <t xml:space="preserve">Calm (humans) / chaos (cats)</t>
  </si>
  <si>
    <t xml:space="preserve">SP093</t>
  </si>
  <si>
    <t xml:space="preserve">Motherwort</t>
  </si>
  <si>
    <t xml:space="preserve">Leonurus cardiaca</t>
  </si>
  <si>
    <t xml:space="preserve">Very bitter</t>
  </si>
  <si>
    <t xml:space="preserve">Anxiety / heart flutter</t>
  </si>
  <si>
    <t xml:space="preserve">SP094</t>
  </si>
  <si>
    <t xml:space="preserve">Self-heal</t>
  </si>
  <si>
    <t xml:space="preserve">Prunella vulgaris</t>
  </si>
  <si>
    <t xml:space="preserve">Mild-bitter</t>
  </si>
  <si>
    <t xml:space="preserve">All-purpose healing (weak, but stacks)</t>
  </si>
  <si>
    <t xml:space="preserve">SP095</t>
  </si>
  <si>
    <t xml:space="preserve">Mad-dog Skullcap</t>
  </si>
  <si>
    <t xml:space="preserve">Scutellaria lateriflora</t>
  </si>
  <si>
    <t xml:space="preserve">Nerve calm</t>
  </si>
  <si>
    <t xml:space="preserve">SP096</t>
  </si>
  <si>
    <t xml:space="preserve">Blue Vervain</t>
  </si>
  <si>
    <t xml:space="preserve">Verbena hastata</t>
  </si>
  <si>
    <t xml:space="preserve">Extremely bitter</t>
  </si>
  <si>
    <t xml:space="preserve">Tension release</t>
  </si>
  <si>
    <t xml:space="preserve">SP097</t>
  </si>
  <si>
    <t xml:space="preserve">Boneset</t>
  </si>
  <si>
    <t xml:space="preserve">Eupatorium perfoliatum</t>
  </si>
  <si>
    <t xml:space="preserve">Break fever</t>
  </si>
  <si>
    <t xml:space="preserve">SP098</t>
  </si>
  <si>
    <t xml:space="preserve">Joe-Pye Weed</t>
  </si>
  <si>
    <t xml:space="preserve">Eutrochium purpureum</t>
  </si>
  <si>
    <t xml:space="preserve">Vanilla when dried</t>
  </si>
  <si>
    <t xml:space="preserve">Gravel root (kidney)</t>
  </si>
  <si>
    <t xml:space="preserve">SP099</t>
  </si>
  <si>
    <t xml:space="preserve">Swamp Milkweed</t>
  </si>
  <si>
    <t xml:space="preserve">Asclepias incarnata</t>
  </si>
  <si>
    <t xml:space="preserve">Floss / filler</t>
  </si>
  <si>
    <t xml:space="preserve">SP100</t>
  </si>
  <si>
    <t xml:space="preserve">Blue Flag Iris</t>
  </si>
  <si>
    <t xml:space="preserve">Iris versicolor</t>
  </si>
  <si>
    <t xml:space="preserve">Strong purge — toxic</t>
  </si>
  <si>
    <t xml:space="preserve">SP101</t>
  </si>
  <si>
    <t xml:space="preserve">Cardinal Flower</t>
  </si>
  <si>
    <t xml:space="preserve">Lobelia cardinalis</t>
  </si>
  <si>
    <t xml:space="preserve">Dye: red / toxic</t>
  </si>
  <si>
    <t xml:space="preserve">SP102</t>
  </si>
  <si>
    <t xml:space="preserve">Great Blue Lobelia</t>
  </si>
  <si>
    <t xml:space="preserve">Lobelia siphilitica</t>
  </si>
  <si>
    <t xml:space="preserve">Breath opener — vomiting at excess</t>
  </si>
  <si>
    <t xml:space="preserve">SP103</t>
  </si>
  <si>
    <t xml:space="preserve">Indian Tobacco</t>
  </si>
  <si>
    <t xml:space="preserve">Lobelia inflata</t>
  </si>
  <si>
    <t xml:space="preserve">Burning, nauseating</t>
  </si>
  <si>
    <t xml:space="preserve">Potent relaxant — tight margin</t>
  </si>
  <si>
    <t xml:space="preserve">SP104</t>
  </si>
  <si>
    <t xml:space="preserve">Wild Lettuce</t>
  </si>
  <si>
    <t xml:space="preserve">Lactuca canadensis</t>
  </si>
  <si>
    <t xml:space="preserve">Mild sleep</t>
  </si>
  <si>
    <t xml:space="preserve">SP105</t>
  </si>
  <si>
    <t xml:space="preserve">Eastern Prickly Pear Pad</t>
  </si>
  <si>
    <t xml:space="preserve">Opuntia humifusa</t>
  </si>
  <si>
    <t xml:space="preserve">Limestone Bluff</t>
  </si>
  <si>
    <t xml:space="preserve">Pad</t>
  </si>
  <si>
    <t xml:space="preserve">Mucilaginous</t>
  </si>
  <si>
    <t xml:space="preserve">Cucumber</t>
  </si>
  <si>
    <t xml:space="preserve">Binder / burn gel</t>
  </si>
  <si>
    <t xml:space="preserve">SP106</t>
  </si>
  <si>
    <t xml:space="preserve">Eastern Prickly Pear Fruit</t>
  </si>
  <si>
    <t xml:space="preserve">Melon-sweet</t>
  </si>
  <si>
    <t xml:space="preserve">Dye: magenta</t>
  </si>
  <si>
    <t xml:space="preserve">SP107</t>
  </si>
  <si>
    <t xml:space="preserve">Eastern Red Cedar</t>
  </si>
  <si>
    <t xml:space="preserve">Juniperus virginiana</t>
  </si>
  <si>
    <t xml:space="preserve">Resinous</t>
  </si>
  <si>
    <t xml:space="preserve">Cedar</t>
  </si>
  <si>
    <t xml:space="preserve">Smudge / moth repellent / antifungal</t>
  </si>
  <si>
    <t xml:space="preserve">SP108</t>
  </si>
  <si>
    <t xml:space="preserve">Red Cedar Berry</t>
  </si>
  <si>
    <t xml:space="preserve">Gin</t>
  </si>
  <si>
    <t xml:space="preserve">Piney</t>
  </si>
  <si>
    <t xml:space="preserve">Distilling flavor</t>
  </si>
  <si>
    <t xml:space="preserve">SP109</t>
  </si>
  <si>
    <t xml:space="preserve">Wild Columbine</t>
  </si>
  <si>
    <t xml:space="preserve">Aquilegia canadensis</t>
  </si>
  <si>
    <t xml:space="preserve">Perfume (crushed seed)</t>
  </si>
  <si>
    <t xml:space="preserve">SP110</t>
  </si>
  <si>
    <t xml:space="preserve">Walking Fern</t>
  </si>
  <si>
    <t xml:space="preserve">Asplenium rhizophyllum</t>
  </si>
  <si>
    <t xml:space="preserve">Fern</t>
  </si>
  <si>
    <t xml:space="preserve">Collector's curio</t>
  </si>
  <si>
    <t xml:space="preserve">SP111</t>
  </si>
  <si>
    <t xml:space="preserve">Wild Hydrangea</t>
  </si>
  <si>
    <t xml:space="preserve">Hydrangea arborescens</t>
  </si>
  <si>
    <t xml:space="preserve">Gravel root — stones</t>
  </si>
  <si>
    <t xml:space="preserve">SP112</t>
  </si>
  <si>
    <t xml:space="preserve">Shooting Star</t>
  </si>
  <si>
    <t xml:space="preserve">Primula meadia</t>
  </si>
  <si>
    <t xml:space="preserve">Ornamental — high trade value</t>
  </si>
  <si>
    <t xml:space="preserve">SP113</t>
  </si>
  <si>
    <t xml:space="preserve">Little Bluestem</t>
  </si>
  <si>
    <t xml:space="preserve">Schizachyrium scoparium</t>
  </si>
  <si>
    <t xml:space="preserve">Straw / bedding</t>
  </si>
  <si>
    <t xml:space="preserve">SP114</t>
  </si>
  <si>
    <t xml:space="preserve">Big Bluestem</t>
  </si>
  <si>
    <t xml:space="preserve">Andropogon gerardii</t>
  </si>
  <si>
    <t xml:space="preserve">Straw / thatch</t>
  </si>
  <si>
    <t xml:space="preserve">SP115</t>
  </si>
  <si>
    <t xml:space="preserve">Switchgrass</t>
  </si>
  <si>
    <t xml:space="preserve">Panicum virgatum</t>
  </si>
  <si>
    <t xml:space="preserve">Bird seed / filler</t>
  </si>
  <si>
    <t xml:space="preserve">SP116</t>
  </si>
  <si>
    <t xml:space="preserve">Compass Plant</t>
  </si>
  <si>
    <t xml:space="preserve">Silphium laciniatum</t>
  </si>
  <si>
    <t xml:space="preserve">Resin</t>
  </si>
  <si>
    <t xml:space="preserve">Resinous, piney</t>
  </si>
  <si>
    <t xml:space="preserve">Turpentine</t>
  </si>
  <si>
    <t xml:space="preserve">Chewing gum / lung resin</t>
  </si>
  <si>
    <t xml:space="preserve">SP117</t>
  </si>
  <si>
    <t xml:space="preserve">Prairie Dock</t>
  </si>
  <si>
    <t xml:space="preserve">Silphium terebinthinaceum</t>
  </si>
  <si>
    <t xml:space="preserve">Filler resin</t>
  </si>
  <si>
    <t xml:space="preserve">SP118</t>
  </si>
  <si>
    <t xml:space="preserve">Rattlesnake Master</t>
  </si>
  <si>
    <t xml:space="preserve">Eryngium yuccifolium</t>
  </si>
  <si>
    <t xml:space="preserve">Snakebite folk remedy (antivenom synergy)</t>
  </si>
  <si>
    <t xml:space="preserve">SP119</t>
  </si>
  <si>
    <t xml:space="preserve">Lead Plant</t>
  </si>
  <si>
    <t xml:space="preserve">Amorpha canescens</t>
  </si>
  <si>
    <t xml:space="preserve">Tea / nitrogen fixer</t>
  </si>
  <si>
    <t xml:space="preserve">SP120</t>
  </si>
  <si>
    <t xml:space="preserve">New Jersey Tea</t>
  </si>
  <si>
    <t xml:space="preserve">Ceanothus americanus</t>
  </si>
  <si>
    <t xml:space="preserve">Red dye / throat astringent</t>
  </si>
  <si>
    <t xml:space="preserve">SP121</t>
  </si>
  <si>
    <t xml:space="preserve">Canada Goldenrod</t>
  </si>
  <si>
    <t xml:space="preserve">Solidago canadensis</t>
  </si>
  <si>
    <t xml:space="preserve">Bitter-floral</t>
  </si>
  <si>
    <t xml:space="preserve">Kidney flush / allergy relief</t>
  </si>
  <si>
    <t xml:space="preserve">SP122</t>
  </si>
  <si>
    <t xml:space="preserve">New England Aster</t>
  </si>
  <si>
    <t xml:space="preserve">Symphyotrichum novae-angliae</t>
  </si>
  <si>
    <t xml:space="preserve">Smudge / filler</t>
  </si>
  <si>
    <t xml:space="preserve">SP123</t>
  </si>
  <si>
    <t xml:space="preserve">Black-eyed Susan</t>
  </si>
  <si>
    <t xml:space="preserve">Rudbeckia hirta</t>
  </si>
  <si>
    <t xml:space="preserve">Dye: olive</t>
  </si>
  <si>
    <t xml:space="preserve">SP124</t>
  </si>
  <si>
    <t xml:space="preserve">Wild Sunflower</t>
  </si>
  <si>
    <t xml:space="preserve">Helianthus annuus</t>
  </si>
  <si>
    <t xml:space="preserve">SP125</t>
  </si>
  <si>
    <t xml:space="preserve">Jerusalem Artichoke</t>
  </si>
  <si>
    <t xml:space="preserve">Helianthus tuberosus</t>
  </si>
  <si>
    <t xml:space="preserve">Tuber</t>
  </si>
  <si>
    <t xml:space="preserve">Sweet, crisp</t>
  </si>
  <si>
    <t xml:space="preserve">Ferment sugar (inulin)</t>
  </si>
  <si>
    <t xml:space="preserve">SP126</t>
  </si>
  <si>
    <t xml:space="preserve">Groundnut</t>
  </si>
  <si>
    <t xml:space="preserve">Apios americana</t>
  </si>
  <si>
    <t xml:space="preserve">Potato-bean</t>
  </si>
  <si>
    <t xml:space="preserve">SP127</t>
  </si>
  <si>
    <t xml:space="preserve">Hog Peanut</t>
  </si>
  <si>
    <t xml:space="preserve">Amphicarpaea bracteata</t>
  </si>
  <si>
    <t xml:space="preserve">Bean</t>
  </si>
  <si>
    <t xml:space="preserve">SP128</t>
  </si>
  <si>
    <t xml:space="preserve">Virginia Creeper</t>
  </si>
  <si>
    <t xml:space="preserve">Parthenocissus quinquefolia</t>
  </si>
  <si>
    <t xml:space="preserve">Sour, numbing</t>
  </si>
  <si>
    <t xml:space="preserve">Oxalate trap — looks like grape</t>
  </si>
  <si>
    <t xml:space="preserve">SP129</t>
  </si>
  <si>
    <t xml:space="preserve">Bittersweet Nightshade</t>
  </si>
  <si>
    <t xml:space="preserve">Solanum dulcamara</t>
  </si>
  <si>
    <t xml:space="preserve">Bitter then sweet</t>
  </si>
  <si>
    <t xml:space="preserve">Toxic dye</t>
  </si>
  <si>
    <t xml:space="preserve">SP130</t>
  </si>
  <si>
    <t xml:space="preserve">Horse Nettle</t>
  </si>
  <si>
    <t xml:space="preserve">Solanum carolinense</t>
  </si>
  <si>
    <t xml:space="preserve">Toxic filler</t>
  </si>
  <si>
    <t xml:space="preserve">SP131</t>
  </si>
  <si>
    <t xml:space="preserve">Ground Ivy</t>
  </si>
  <si>
    <t xml:space="preserve">Glechoma hederacea</t>
  </si>
  <si>
    <t xml:space="preserve">Mint</t>
  </si>
  <si>
    <t xml:space="preserve">Ale bittering</t>
  </si>
  <si>
    <t xml:space="preserve">SP132</t>
  </si>
  <si>
    <t xml:space="preserve">Peppermint (escaped)</t>
  </si>
  <si>
    <t xml:space="preserve">Mentha × piperita</t>
  </si>
  <si>
    <t xml:space="preserve">Icy</t>
  </si>
  <si>
    <t xml:space="preserve">Cooling / nausea</t>
  </si>
  <si>
    <t xml:space="preserve">SP133</t>
  </si>
  <si>
    <t xml:space="preserve">Wild Mint</t>
  </si>
  <si>
    <t xml:space="preserve">Mentha arvensis</t>
  </si>
  <si>
    <t xml:space="preserve">Flavor mask</t>
  </si>
  <si>
    <t xml:space="preserve">SP134</t>
  </si>
  <si>
    <t xml:space="preserve">Lemon Balm</t>
  </si>
  <si>
    <t xml:space="preserve">Melissa officinalis</t>
  </si>
  <si>
    <t xml:space="preserve">Calm &amp; cheer</t>
  </si>
  <si>
    <t xml:space="preserve">SP135</t>
  </si>
  <si>
    <t xml:space="preserve">Comfrey</t>
  </si>
  <si>
    <t xml:space="preserve">Symphytum officinale</t>
  </si>
  <si>
    <t xml:space="preserve">Slimy</t>
  </si>
  <si>
    <t xml:space="preserve">Knit bone — external use only</t>
  </si>
  <si>
    <t xml:space="preserve">SP136</t>
  </si>
  <si>
    <t xml:space="preserve">Feverfew</t>
  </si>
  <si>
    <t xml:space="preserve">Tanacetum parthenium</t>
  </si>
  <si>
    <t xml:space="preserve">Camphor</t>
  </si>
  <si>
    <t xml:space="preserve">Headache prevention</t>
  </si>
  <si>
    <t xml:space="preserve">SP137</t>
  </si>
  <si>
    <t xml:space="preserve">Common Tansy</t>
  </si>
  <si>
    <t xml:space="preserve">Tanacetum vulgare</t>
  </si>
  <si>
    <t xml:space="preserve">Bitter-camphor</t>
  </si>
  <si>
    <t xml:space="preserve">Strong camphor</t>
  </si>
  <si>
    <t xml:space="preserve">Pest-repelling strewing herb / toxic</t>
  </si>
  <si>
    <t xml:space="preserve">SP138</t>
  </si>
  <si>
    <t xml:space="preserve">Wormwood</t>
  </si>
  <si>
    <t xml:space="preserve">Artemisia absinthium</t>
  </si>
  <si>
    <t xml:space="preserve">Brutal bitter</t>
  </si>
  <si>
    <t xml:space="preserve">Sage</t>
  </si>
  <si>
    <t xml:space="preserve">Worm purge / bittering</t>
  </si>
  <si>
    <t xml:space="preserve">SP139</t>
  </si>
  <si>
    <t xml:space="preserve">Mugwort</t>
  </si>
  <si>
    <t xml:space="preserve">Artemisia vulgaris</t>
  </si>
  <si>
    <t xml:space="preserve">Bitter-sage</t>
  </si>
  <si>
    <t xml:space="preserve">Dream vividness</t>
  </si>
  <si>
    <t xml:space="preserve">SP140</t>
  </si>
  <si>
    <t xml:space="preserve">Garden Sage (escaped)</t>
  </si>
  <si>
    <t xml:space="preserve">Salvia officinalis</t>
  </si>
  <si>
    <t xml:space="preserve">Savory</t>
  </si>
  <si>
    <t xml:space="preserve">Preservative</t>
  </si>
  <si>
    <t xml:space="preserve">SP141</t>
  </si>
  <si>
    <t xml:space="preserve">Horseradish</t>
  </si>
  <si>
    <t xml:space="preserve">Armoracia rusticana</t>
  </si>
  <si>
    <t xml:space="preserve">Searing</t>
  </si>
  <si>
    <t xml:space="preserve">Sinus blast / heat</t>
  </si>
  <si>
    <t xml:space="preserve">SP142</t>
  </si>
  <si>
    <t xml:space="preserve">Calendula (escaped)</t>
  </si>
  <si>
    <t xml:space="preserve">Calendula officinalis</t>
  </si>
  <si>
    <t xml:space="preserve">Mild bitter</t>
  </si>
  <si>
    <t xml:space="preserve">Skin heal / dye: gold</t>
  </si>
  <si>
    <t xml:space="preserve">SP143</t>
  </si>
  <si>
    <t xml:space="preserve">German Chamomile</t>
  </si>
  <si>
    <t xml:space="preserve">Matricaria chamomilla</t>
  </si>
  <si>
    <t xml:space="preserve">Apple-sweet</t>
  </si>
  <si>
    <t xml:space="preserve">Sleep &amp; stomach</t>
  </si>
  <si>
    <t xml:space="preserve">SP144</t>
  </si>
  <si>
    <t xml:space="preserve">Common Hops</t>
  </si>
  <si>
    <t xml:space="preserve">Humulus lupulus</t>
  </si>
  <si>
    <t xml:space="preserve">Skunky-pine</t>
  </si>
  <si>
    <t xml:space="preserve">Sleep / brewing</t>
  </si>
  <si>
    <t xml:space="preserve">SP145</t>
  </si>
  <si>
    <t xml:space="preserve">Soapwort</t>
  </si>
  <si>
    <t xml:space="preserve">Saponaria officinalis</t>
  </si>
  <si>
    <t xml:space="preserve">Soapy</t>
  </si>
  <si>
    <t xml:space="preserve">Soap / emulsifier</t>
  </si>
  <si>
    <t xml:space="preserve">SP146</t>
  </si>
  <si>
    <t xml:space="preserve">Wild Teasel</t>
  </si>
  <si>
    <t xml:space="preserve">Dipsacus fullonum</t>
  </si>
  <si>
    <t xml:space="preserve">Fiber-comb tool</t>
  </si>
  <si>
    <t xml:space="preserve">SP147</t>
  </si>
  <si>
    <t xml:space="preserve">Chicory</t>
  </si>
  <si>
    <t xml:space="preserve">Cichorium intybus</t>
  </si>
  <si>
    <t xml:space="preserve">Bitter-coffee</t>
  </si>
  <si>
    <t xml:space="preserve">Roasty</t>
  </si>
  <si>
    <t xml:space="preserve">Coffee substitute</t>
  </si>
  <si>
    <t xml:space="preserve">SP148</t>
  </si>
  <si>
    <t xml:space="preserve">Pineapple Weed</t>
  </si>
  <si>
    <t xml:space="preserve">Matricaria discoidea</t>
  </si>
  <si>
    <t xml:space="preserve">Pineapple</t>
  </si>
  <si>
    <t xml:space="preserve">Cheap chamomile</t>
  </si>
  <si>
    <t xml:space="preserve">SP149</t>
  </si>
  <si>
    <t xml:space="preserve">Shepherd's Purse</t>
  </si>
  <si>
    <t xml:space="preserve">Capsella bursa-pastoris</t>
  </si>
  <si>
    <t xml:space="preserve">Peppery</t>
  </si>
  <si>
    <t xml:space="preserve">Cabbage</t>
  </si>
  <si>
    <t xml:space="preserve">Mild styptic</t>
  </si>
  <si>
    <t xml:space="preserve">SP150</t>
  </si>
  <si>
    <t xml:space="preserve">Purslane</t>
  </si>
  <si>
    <t xml:space="preserve">Portulaca oleracea</t>
  </si>
  <si>
    <t xml:space="preserve">Lemony-crunchy</t>
  </si>
  <si>
    <t xml:space="preserve">Food / cooling</t>
  </si>
  <si>
    <t xml:space="preserve">SP151</t>
  </si>
  <si>
    <t xml:space="preserve">Redroot Amaranth</t>
  </si>
  <si>
    <t xml:space="preserve">Amaranthus retroflexus</t>
  </si>
  <si>
    <t xml:space="preserve">Grainy</t>
  </si>
  <si>
    <t xml:space="preserve">Flour</t>
  </si>
  <si>
    <t xml:space="preserve">SP152</t>
  </si>
  <si>
    <t xml:space="preserve">Common Ragweed</t>
  </si>
  <si>
    <t xml:space="preserve">Ambrosia artemisiifolia</t>
  </si>
  <si>
    <t xml:space="preserve">Allergen — lowers nearby stall sales</t>
  </si>
  <si>
    <t xml:space="preserve">SP153</t>
  </si>
  <si>
    <t xml:space="preserve">Bracken Fern</t>
  </si>
  <si>
    <t xml:space="preserve">Pteridium aquilinum</t>
  </si>
  <si>
    <t xml:space="preserve">Shoot</t>
  </si>
  <si>
    <t xml:space="preserve">Almond-bitter</t>
  </si>
  <si>
    <t xml:space="preserve">Cumulative toxin</t>
  </si>
  <si>
    <t xml:space="preserve">SP154</t>
  </si>
  <si>
    <t xml:space="preserve">Christmas Fern</t>
  </si>
  <si>
    <t xml:space="preserve">Polystichum acrostichoides</t>
  </si>
  <si>
    <t xml:space="preserve">Packing material</t>
  </si>
  <si>
    <t xml:space="preserve">SP155</t>
  </si>
  <si>
    <t xml:space="preserve">Maidenhair Fern</t>
  </si>
  <si>
    <t xml:space="preserve">Adiantum pedatum</t>
  </si>
  <si>
    <t xml:space="preserve">Hair &amp; throat</t>
  </si>
  <si>
    <t xml:space="preserve">SP156</t>
  </si>
  <si>
    <t xml:space="preserve">Partridge Berry</t>
  </si>
  <si>
    <t xml:space="preserve">Mitchella repens</t>
  </si>
  <si>
    <t xml:space="preserve">Women's tonic</t>
  </si>
  <si>
    <t xml:space="preserve">SP157</t>
  </si>
  <si>
    <t xml:space="preserve">Wintergreen</t>
  </si>
  <si>
    <t xml:space="preserve">Gaultheria procumbens</t>
  </si>
  <si>
    <t xml:space="preserve">Pain liniment — overdose risk</t>
  </si>
  <si>
    <t xml:space="preserve">SP158</t>
  </si>
  <si>
    <t xml:space="preserve">Pipsissewa</t>
  </si>
  <si>
    <t xml:space="preserve">Chimaphila umbellata</t>
  </si>
  <si>
    <t xml:space="preserve">Urinary</t>
  </si>
  <si>
    <t xml:space="preserve">SP159</t>
  </si>
  <si>
    <t xml:space="preserve">Rattlesnake Fern</t>
  </si>
  <si>
    <t xml:space="preserve">Botrychium virginianum</t>
  </si>
  <si>
    <t xml:space="preserve">SPR</t>
  </si>
  <si>
    <t xml:space="preserve">'Moonwort' lore — unseals sealed ruins</t>
  </si>
  <si>
    <t xml:space="preserve">SP160</t>
  </si>
  <si>
    <t xml:space="preserve">Ghost Pipe</t>
  </si>
  <si>
    <t xml:space="preserve">Monotropa uniflora</t>
  </si>
  <si>
    <t xml:space="preserve">Bland, blackens</t>
  </si>
  <si>
    <t xml:space="preserve">'Hush' — dulls pain &amp; emotion; turns to ink if mishandled</t>
  </si>
  <si>
    <t xml:space="preserve">SP161</t>
  </si>
  <si>
    <t xml:space="preserve">Bear's Head Tooth</t>
  </si>
  <si>
    <t xml:space="preserve">Hericium americanum</t>
  </si>
  <si>
    <t xml:space="preserve">Fruiting body</t>
  </si>
  <si>
    <t xml:space="preserve">Seafood</t>
  </si>
  <si>
    <t xml:space="preserve">Mushroom</t>
  </si>
  <si>
    <t xml:space="preserve">Memory clarity</t>
  </si>
  <si>
    <t xml:space="preserve">SP162</t>
  </si>
  <si>
    <t xml:space="preserve">Chicken of the Woods</t>
  </si>
  <si>
    <t xml:space="preserve">Laetiporus sulphureus</t>
  </si>
  <si>
    <t xml:space="preserve">Lemony chicken</t>
  </si>
  <si>
    <t xml:space="preserve">Food / dye: orange</t>
  </si>
  <si>
    <t xml:space="preserve">SP163</t>
  </si>
  <si>
    <t xml:space="preserve">Turkey Tail</t>
  </si>
  <si>
    <t xml:space="preserve">Trametes versicolor</t>
  </si>
  <si>
    <t xml:space="preserve">Leathery</t>
  </si>
  <si>
    <t xml:space="preserve">Immune decoction</t>
  </si>
  <si>
    <t xml:space="preserve">SP164</t>
  </si>
  <si>
    <t xml:space="preserve">Varnished Reishi</t>
  </si>
  <si>
    <t xml:space="preserve">Ganoderma sessile</t>
  </si>
  <si>
    <t xml:space="preserve">Deep sleep / calm</t>
  </si>
  <si>
    <t xml:space="preserve">SP165</t>
  </si>
  <si>
    <t xml:space="preserve">Yellow Morel</t>
  </si>
  <si>
    <t xml:space="preserve">Morchella americana</t>
  </si>
  <si>
    <t xml:space="preserve">Rich</t>
  </si>
  <si>
    <t xml:space="preserve">Luxury trade good (toxic raw)</t>
  </si>
  <si>
    <t xml:space="preserve">SP166</t>
  </si>
  <si>
    <t xml:space="preserve">Golden Chanterelle</t>
  </si>
  <si>
    <t xml:space="preserve">Cantharellus cibarius</t>
  </si>
  <si>
    <t xml:space="preserve">Apricot</t>
  </si>
  <si>
    <t xml:space="preserve">Trade food</t>
  </si>
  <si>
    <t xml:space="preserve">SP167</t>
  </si>
  <si>
    <t xml:space="preserve">Giant Puffball</t>
  </si>
  <si>
    <t xml:space="preserve">Calvatia gigantea</t>
  </si>
  <si>
    <t xml:space="preserve">Spore powder = styptic</t>
  </si>
  <si>
    <t xml:space="preserve">SP168</t>
  </si>
  <si>
    <t xml:space="preserve">Jack-o'-lantern</t>
  </si>
  <si>
    <t xml:space="preserve">Omphalotus illudens</t>
  </si>
  <si>
    <t xml:space="preserve">Glows in the dark — light source / poison</t>
  </si>
  <si>
    <t xml:space="preserve">SP169</t>
  </si>
  <si>
    <t xml:space="preserve">Destroying Angel</t>
  </si>
  <si>
    <t xml:space="preserve">Amanita bisporigera</t>
  </si>
  <si>
    <t xml:space="preserve">Lethal, slow-acting — licensed buyers only</t>
  </si>
  <si>
    <t xml:space="preserve">SP170</t>
  </si>
  <si>
    <t xml:space="preserve">Lanternmoss</t>
  </si>
  <si>
    <t xml:space="preserve">Lucibryum radix (fictional)</t>
  </si>
  <si>
    <t xml:space="preserve">Mycelial Hollow</t>
  </si>
  <si>
    <t xml:space="preserve">Cool, fizzy</t>
  </si>
  <si>
    <t xml:space="preserve">Ozone</t>
  </si>
  <si>
    <t xml:space="preserve">Burned: reveals the Network for 1 hour</t>
  </si>
  <si>
    <t xml:space="preserve">SP171</t>
  </si>
  <si>
    <t xml:space="preserve">Weeping Rhizine</t>
  </si>
  <si>
    <t xml:space="preserve">Rhizina lacrimans (fictional)</t>
  </si>
  <si>
    <t xml:space="preserve">Exudate</t>
  </si>
  <si>
    <t xml:space="preserve">RHZ</t>
  </si>
  <si>
    <t xml:space="preserve">Metallic tears</t>
  </si>
  <si>
    <t xml:space="preserve">Petrichor</t>
  </si>
  <si>
    <t xml:space="preserve">Speak with one tree or creature for a day</t>
  </si>
  <si>
    <t xml:space="preserve">SP172</t>
  </si>
  <si>
    <t xml:space="preserve">Hollowbell</t>
  </si>
  <si>
    <t xml:space="preserve">Campanula cava (fictional)</t>
  </si>
  <si>
    <t xml:space="preserve">Rings audibly on the tongue</t>
  </si>
  <si>
    <t xml:space="preserve">Echolocate buried roots &amp; relics</t>
  </si>
  <si>
    <t xml:space="preserve">SP173</t>
  </si>
  <si>
    <t xml:space="preserve">Graftwort</t>
  </si>
  <si>
    <t xml:space="preserve">Insita bina (fictional)</t>
  </si>
  <si>
    <t xml:space="preserve">Sticky</t>
  </si>
  <si>
    <t xml:space="preserve">Graft two garden species into a hybrid</t>
  </si>
  <si>
    <t xml:space="preserve">SP174</t>
  </si>
  <si>
    <t xml:space="preserve">Sleeper's Cap</t>
  </si>
  <si>
    <t xml:space="preserve">Somnicybe dormiens (fictional)</t>
  </si>
  <si>
    <t xml:space="preserve">Bitter, cold</t>
  </si>
  <si>
    <t xml:space="preserve">Freeze a garden bed in time for one season</t>
  </si>
  <si>
    <t xml:space="preserve">SP175</t>
  </si>
  <si>
    <t xml:space="preserve">Memory Lichen</t>
  </si>
  <si>
    <t xml:space="preserve">Mnemolichen antiquus (fictional)</t>
  </si>
  <si>
    <t xml:space="preserve">Dusty</t>
  </si>
  <si>
    <t xml:space="preserve">Old paper</t>
  </si>
  <si>
    <t xml:space="preserve">Replay what happened at a spot (ecology clue)</t>
  </si>
  <si>
    <t xml:space="preserve">SP176</t>
  </si>
  <si>
    <t xml:space="preserve">Ashen Clover</t>
  </si>
  <si>
    <t xml:space="preserve">Trifolium cinereum (fictional)</t>
  </si>
  <si>
    <t xml:space="preserve">Sweet ash</t>
  </si>
  <si>
    <t xml:space="preserve">Smoke</t>
  </si>
  <si>
    <t xml:space="preserve">Appears only after fire; restores burned soil</t>
  </si>
  <si>
    <t xml:space="preserve">SP177</t>
  </si>
  <si>
    <t xml:space="preserve">Veinroot</t>
  </si>
  <si>
    <t xml:space="preserve">Venaradix vera (fictional)</t>
  </si>
  <si>
    <t xml:space="preserve">Iron, blood</t>
  </si>
  <si>
    <t xml:space="preserve">Copper</t>
  </si>
  <si>
    <t xml:space="preserve">Transfer health between two creatures</t>
  </si>
  <si>
    <t xml:space="preserve">SP178</t>
  </si>
  <si>
    <t xml:space="preserve">Quietgrass</t>
  </si>
  <si>
    <t xml:space="preserve">Silentia pratensis (fictional)</t>
  </si>
  <si>
    <t xml:space="preserve">Wild animals ignore you (stealth)</t>
  </si>
  <si>
    <t xml:space="preserve">SP179</t>
  </si>
  <si>
    <t xml:space="preserve">Broadleaf Plantain</t>
  </si>
  <si>
    <t xml:space="preserve">Plantago major</t>
  </si>
  <si>
    <t xml:space="preserve">Mild, faintly bitter</t>
  </si>
  <si>
    <t xml:space="preserve">Drawing poultice for stings and splinters</t>
  </si>
  <si>
    <t xml:space="preserve">SP180</t>
  </si>
  <si>
    <t xml:space="preserve">Lawn Turf (Bluegrass)</t>
  </si>
  <si>
    <t xml:space="preserve">Poa pratensis</t>
  </si>
  <si>
    <t xml:space="preserve">Cut grass</t>
  </si>
  <si>
    <t xml:space="preserve">Mulch / bedding filler</t>
  </si>
  <si>
    <t xml:space="preserve">SP181</t>
  </si>
  <si>
    <t xml:space="preserve">Giant Foxtail</t>
  </si>
  <si>
    <t xml:space="preserve">Setaria faberi</t>
  </si>
  <si>
    <t xml:space="preserve">SP182</t>
  </si>
  <si>
    <t xml:space="preserve">Broomsedge</t>
  </si>
  <si>
    <t xml:space="preserve">Andropogon virginicus</t>
  </si>
  <si>
    <t xml:space="preserve">Dry straw</t>
  </si>
  <si>
    <t xml:space="preserve">Broom straw / tinder</t>
  </si>
  <si>
    <t xml:space="preserve">SP183</t>
  </si>
  <si>
    <t xml:space="preserve">Tall Fescue</t>
  </si>
  <si>
    <t xml:space="preserve">Schedonorus arundinaceus</t>
  </si>
  <si>
    <t xml:space="preserve">Coarse grass</t>
  </si>
  <si>
    <t xml:space="preserve">Hay (endophyte risk for livestock)</t>
  </si>
  <si>
    <t xml:space="preserve">SP184</t>
  </si>
  <si>
    <t xml:space="preserve">Pennsylvania Sedge</t>
  </si>
  <si>
    <t xml:space="preserve">Carex pensylvanica</t>
  </si>
  <si>
    <t xml:space="preserve">Packing / bedding</t>
  </si>
  <si>
    <t xml:space="preserve">SP185</t>
  </si>
  <si>
    <t xml:space="preserve">Bush Honeysuckle Berry</t>
  </si>
  <si>
    <t xml:space="preserve">Lonicera maackii</t>
  </si>
  <si>
    <t xml:space="preserve">Invasive (reputation bonus for removal); berries mildly toxic</t>
  </si>
  <si>
    <t xml:space="preserve">Plant Name</t>
  </si>
  <si>
    <t xml:space="preserve">Maps</t>
  </si>
  <si>
    <t xml:space="preserve">Growth Form</t>
  </si>
  <si>
    <t xml:space="preserve">Life Cycle</t>
  </si>
  <si>
    <t xml:space="preserve">Height (m)</t>
  </si>
  <si>
    <t xml:space="preserve">Leaf Color</t>
  </si>
  <si>
    <t xml:space="preserve">Flower Color</t>
  </si>
  <si>
    <t xml:space="preserve">Dormant Color</t>
  </si>
  <si>
    <t xml:space="preserve">Green-up DOY</t>
  </si>
  <si>
    <t xml:space="preserve">Flower Start DOY</t>
  </si>
  <si>
    <t xml:space="preserve">Flower End DOY</t>
  </si>
  <si>
    <t xml:space="preserve">Fruit Ripe DOY</t>
  </si>
  <si>
    <t xml:space="preserve">Dieback DOY</t>
  </si>
  <si>
    <t xml:space="preserve">Winter Form</t>
  </si>
  <si>
    <t xml:space="preserve">Crown</t>
  </si>
  <si>
    <t xml:space="preserve">Light Opt</t>
  </si>
  <si>
    <t xml:space="preserve">Light Tol</t>
  </si>
  <si>
    <t xml:space="preserve">Moist Opt</t>
  </si>
  <si>
    <t xml:space="preserve">Moist Tol</t>
  </si>
  <si>
    <t xml:space="preserve">Disturb Opt</t>
  </si>
  <si>
    <t xml:space="preserve">Disturb Tol</t>
  </si>
  <si>
    <t xml:space="preserve">Fert Opt</t>
  </si>
  <si>
    <t xml:space="preserve">Fert Tol</t>
  </si>
  <si>
    <t xml:space="preserve">Mow Tolerance</t>
  </si>
  <si>
    <t xml:space="preserve">C-value</t>
  </si>
  <si>
    <t xml:space="preserve">Origin</t>
  </si>
  <si>
    <t xml:space="preserve">Dispersal</t>
  </si>
  <si>
    <t xml:space="preserve">Patch Scale (m)</t>
  </si>
  <si>
    <t xml:space="preserve">Abundance</t>
  </si>
  <si>
    <t xml:space="preserve">Host</t>
  </si>
  <si>
    <t xml:space="preserve">Flower Shape</t>
  </si>
  <si>
    <t xml:space="preserve">Habitat Notes</t>
  </si>
  <si>
    <t xml:space="preserve">1</t>
  </si>
  <si>
    <t xml:space="preserve">tallForb</t>
  </si>
  <si>
    <t xml:space="preserve">perennial</t>
  </si>
  <si>
    <t xml:space="preserve">#5d7a3e</t>
  </si>
  <si>
    <t xml:space="preserve">#7fa6e6</t>
  </si>
  <si>
    <t xml:space="preserve">#8a7a5e</t>
  </si>
  <si>
    <t xml:space="preserve">rosette</t>
  </si>
  <si>
    <t xml:space="preserve">introduced</t>
  </si>
  <si>
    <t xml:space="preserve">wind</t>
  </si>
  <si>
    <t xml:space="preserve">soilOrGravel</t>
  </si>
  <si>
    <t xml:space="preserve">daisy</t>
  </si>
  <si>
    <t xml:space="preserve">Gravel shoulders and ditch banks; survives twice-yearly ditch mowing.</t>
  </si>
  <si>
    <t xml:space="preserve">Queen Anne's Lace</t>
  </si>
  <si>
    <t xml:space="preserve">biennial</t>
  </si>
  <si>
    <t xml:space="preserve">#6f8f45</t>
  </si>
  <si>
    <t xml:space="preserve">#f3f1e6</t>
  </si>
  <si>
    <t xml:space="preserve">#8a7a60</t>
  </si>
  <si>
    <t xml:space="preserve">umbel</t>
  </si>
  <si>
    <t xml:space="preserve">Roadsides and old fields; first-year plants overwinter as ferny rosettes.</t>
  </si>
  <si>
    <t xml:space="preserve">#7a9a3c</t>
  </si>
  <si>
    <t xml:space="preserve">#d8c23a</t>
  </si>
  <si>
    <t xml:space="preserve">#9a8a5a</t>
  </si>
  <si>
    <t xml:space="preserve">soil</t>
  </si>
  <si>
    <t xml:space="preserve">Spreads along mowed roadsides; sap causes sun burns.</t>
  </si>
  <si>
    <t xml:space="preserve">#5f7a3a</t>
  </si>
  <si>
    <t xml:space="preserve">#b39ad6</t>
  </si>
  <si>
    <t xml:space="preserve">#9a8768</t>
  </si>
  <si>
    <t xml:space="preserve">standing</t>
  </si>
  <si>
    <t xml:space="preserve">invasive</t>
  </si>
  <si>
    <t xml:space="preserve">globe</t>
  </si>
  <si>
    <t xml:space="preserve">Colonizes ditches; spiny dead heads stand all winter.</t>
  </si>
  <si>
    <t xml:space="preserve">forb</t>
  </si>
  <si>
    <t xml:space="preserve">summerAnnual</t>
  </si>
  <si>
    <t xml:space="preserve">#6b8a3a</t>
  </si>
  <si>
    <t xml:space="preserve">#a8a65a</t>
  </si>
  <si>
    <t xml:space="preserve">#8a7a5a</t>
  </si>
  <si>
    <t xml:space="preserve">none</t>
  </si>
  <si>
    <t xml:space="preserve">native</t>
  </si>
  <si>
    <t xml:space="preserve">gravity</t>
  </si>
  <si>
    <t xml:space="preserve">plume</t>
  </si>
  <si>
    <t xml:space="preserve">Annual of freshly turned or scraped soil.</t>
  </si>
  <si>
    <t xml:space="preserve">#6a8a42</t>
  </si>
  <si>
    <t xml:space="preserve">#e6ddf0</t>
  </si>
  <si>
    <t xml:space="preserve">#c8b04a</t>
  </si>
  <si>
    <t xml:space="preserve">animal</t>
  </si>
  <si>
    <t xml:space="preserve">Rhizomatous pasture weed; yellow berries hang on dead stems in winter.</t>
  </si>
  <si>
    <t xml:space="preserve">#9aa58a</t>
  </si>
  <si>
    <t xml:space="preserve">#e8d24a</t>
  </si>
  <si>
    <t xml:space="preserve">#6e5a40</t>
  </si>
  <si>
    <t xml:space="preserve">spike</t>
  </si>
  <si>
    <t xml:space="preserve">Gravelly, dry, disturbed ground; big woolly rosettes are obvious in March.</t>
  </si>
  <si>
    <t xml:space="preserve">#5f7d36</t>
  </si>
  <si>
    <t xml:space="preserve">#8a6a3a</t>
  </si>
  <si>
    <t xml:space="preserve">#7a4a2a</t>
  </si>
  <si>
    <t xml:space="preserve">Moist disturbed ground; rusty seed stalks stand through winter.</t>
  </si>
  <si>
    <t xml:space="preserve">horsetail</t>
  </si>
  <si>
    <t xml:space="preserve">#6f9a3c</t>
  </si>
  <si>
    <t xml:space="preserve">#c8b48a</t>
  </si>
  <si>
    <t xml:space="preserve">rhizome</t>
  </si>
  <si>
    <t xml:space="preserve">Damp ditch bottoms and wet gravel; tan fertile stems in early spring.</t>
  </si>
  <si>
    <t xml:space="preserve">winterAnnual</t>
  </si>
  <si>
    <t xml:space="preserve">#f5f5f0</t>
  </si>
  <si>
    <t xml:space="preserve">#8a8a5a</t>
  </si>
  <si>
    <t xml:space="preserve">Winter annual of bare, trodden soil.</t>
  </si>
  <si>
    <t xml:space="preserve">#5c8a35</t>
  </si>
  <si>
    <t xml:space="preserve">#f2c81e</t>
  </si>
  <si>
    <t xml:space="preserve">#5a6a3a</t>
  </si>
  <si>
    <t xml:space="preserve">Lawns and anywhere mowed; outcompeted in tall unmowed grass.</t>
  </si>
  <si>
    <t xml:space="preserve">#3f7a3a</t>
  </si>
  <si>
    <t xml:space="preserve">#6a4fc9</t>
  </si>
  <si>
    <t xml:space="preserve">#4a5a3a</t>
  </si>
  <si>
    <t xml:space="preserve">ballistic</t>
  </si>
  <si>
    <t xml:space="preserve">Shady lawn edges and under yard trees.</t>
  </si>
  <si>
    <t xml:space="preserve">mat</t>
  </si>
  <si>
    <t xml:space="preserve">#6fa046</t>
  </si>
  <si>
    <t xml:space="preserve">#ffffff</t>
  </si>
  <si>
    <t xml:space="preserve">#6a8a46</t>
  </si>
  <si>
    <t xml:space="preserve">Cool, rich, moist ground by foundations and gardens; green all winter.</t>
  </si>
  <si>
    <t xml:space="preserve">#6c8f45</t>
  </si>
  <si>
    <t xml:space="preserve">#c06bb6</t>
  </si>
  <si>
    <t xml:space="preserve">#6c7a45</t>
  </si>
  <si>
    <t xml:space="preserve">Turns lawns and fallow ground purple in March.</t>
  </si>
  <si>
    <t xml:space="preserve">#7a5a6a</t>
  </si>
  <si>
    <t xml:space="preserve">#b35fa8</t>
  </si>
  <si>
    <t xml:space="preserve">#6a5a5a</t>
  </si>
  <si>
    <t xml:space="preserve">Purple-topped winter annual of lawns and garden edges.</t>
  </si>
  <si>
    <t xml:space="preserve">#4f7a3c</t>
  </si>
  <si>
    <t xml:space="preserve">#7a62c4</t>
  </si>
  <si>
    <t xml:space="preserve">#4a6a3a</t>
  </si>
  <si>
    <t xml:space="preserve">Creeping mats in shaded, moist lawn.</t>
  </si>
  <si>
    <t xml:space="preserve">#4f8a3a</t>
  </si>
  <si>
    <t xml:space="preserve">#f2efe2</t>
  </si>
  <si>
    <t xml:space="preserve">#5a7a40</t>
  </si>
  <si>
    <t xml:space="preserve">Lean mowed lawn; fixes its own nitrogen.</t>
  </si>
  <si>
    <t xml:space="preserve">bulb</t>
  </si>
  <si>
    <t xml:space="preserve">#5f8f3a</t>
  </si>
  <si>
    <t xml:space="preserve">#e9d6e6</t>
  </si>
  <si>
    <t xml:space="preserve">Green tufts poke above lawn in late winter; gone by midsummer.</t>
  </si>
  <si>
    <t xml:space="preserve">#6a8a3a</t>
  </si>
  <si>
    <t xml:space="preserve">#f2d23a</t>
  </si>
  <si>
    <t xml:space="preserve">Hot, compacted ground and gravel edges.</t>
  </si>
  <si>
    <t xml:space="preserve">#6f9a46</t>
  </si>
  <si>
    <t xml:space="preserve">#c7cf5a</t>
  </si>
  <si>
    <t xml:space="preserve">Trampled gravel drives and paths.</t>
  </si>
  <si>
    <t xml:space="preserve">#8aa63c</t>
  </si>
  <si>
    <t xml:space="preserve">#7a7a4a</t>
  </si>
  <si>
    <t xml:space="preserve">Garden edges and lawn margins.</t>
  </si>
  <si>
    <t xml:space="preserve">#4e7a35</t>
  </si>
  <si>
    <t xml:space="preserve">Follows footsteps: path and driveway edges.</t>
  </si>
  <si>
    <t xml:space="preserve">grass</t>
  </si>
  <si>
    <t xml:space="preserve">#4a7a35</t>
  </si>
  <si>
    <t xml:space="preserve">#9a9a72</t>
  </si>
  <si>
    <t xml:space="preserve">#6a7a4a</t>
  </si>
  <si>
    <t xml:space="preserve">clump</t>
  </si>
  <si>
    <t xml:space="preserve">The mowed matrix of the yard.</t>
  </si>
  <si>
    <t xml:space="preserve">#8aa07a</t>
  </si>
  <si>
    <t xml:space="preserve">#9aa07a</t>
  </si>
  <si>
    <t xml:space="preserve">Rich disturbed soil: barnyard, garden, manure.</t>
  </si>
  <si>
    <t xml:space="preserve">#7a8a4a</t>
  </si>
  <si>
    <t xml:space="preserve">Hot, rich, churned soil.</t>
  </si>
  <si>
    <t xml:space="preserve">#4f7a35</t>
  </si>
  <si>
    <t xml:space="preserve">#b04f8a</t>
  </si>
  <si>
    <t xml:space="preserve">#6a5038</t>
  </si>
  <si>
    <t xml:space="preserve">Barnyard edges and fence lines; burs ride out on animals.</t>
  </si>
  <si>
    <t xml:space="preserve">Pokeweed</t>
  </si>
  <si>
    <t xml:space="preserve">#4f7a3a</t>
  </si>
  <si>
    <t xml:space="preserve">#e8e0d0</t>
  </si>
  <si>
    <t xml:space="preserve">#c8a8b0</t>
  </si>
  <si>
    <t xml:space="preserve">bird</t>
  </si>
  <si>
    <t xml:space="preserve">Bird-sown under perches: fences, wires, tree edges.</t>
  </si>
  <si>
    <t xml:space="preserve">#4a7035</t>
  </si>
  <si>
    <t xml:space="preserve">#f2f0f5</t>
  </si>
  <si>
    <t xml:space="preserve">#6a5a48</t>
  </si>
  <si>
    <t xml:space="preserve">bell</t>
  </si>
  <si>
    <t xml:space="preserve">Manure-rich, trampled barnyard ground.</t>
  </si>
  <si>
    <t xml:space="preserve">#3f6a30</t>
  </si>
  <si>
    <t xml:space="preserve">#8a9a6a</t>
  </si>
  <si>
    <t xml:space="preserve">#7a6a50</t>
  </si>
  <si>
    <t xml:space="preserve">Nitrogen indicator: manure heaps and old barnyards.</t>
  </si>
  <si>
    <t xml:space="preserve">#8a9a7a</t>
  </si>
  <si>
    <t xml:space="preserve">#ece4f0</t>
  </si>
  <si>
    <t xml:space="preserve">#8a8070</t>
  </si>
  <si>
    <t xml:space="preserve">Naturalized around barns and outbuildings.</t>
  </si>
  <si>
    <t xml:space="preserve">#4f7035</t>
  </si>
  <si>
    <t xml:space="preserve">#d8a8c8</t>
  </si>
  <si>
    <t xml:space="preserve">Old farmsteads, rich partly shaded ground.</t>
  </si>
  <si>
    <t xml:space="preserve">Peppermint</t>
  </si>
  <si>
    <t xml:space="preserve">#3f7035</t>
  </si>
  <si>
    <t xml:space="preserve">#b28ac8</t>
  </si>
  <si>
    <t xml:space="preserve">escape</t>
  </si>
  <si>
    <t xml:space="preserve">Escaped from the old garden into damp ground nearby.</t>
  </si>
  <si>
    <t xml:space="preserve">#f0ece0</t>
  </si>
  <si>
    <t xml:space="preserve">#7a7a5a</t>
  </si>
  <si>
    <t xml:space="preserve">Garden escape around the house.</t>
  </si>
  <si>
    <t xml:space="preserve">#9a6ac0</t>
  </si>
  <si>
    <t xml:space="preserve">#5a5040</t>
  </si>
  <si>
    <t xml:space="preserve">Old garden clumps that never die.</t>
  </si>
  <si>
    <t xml:space="preserve">#5a8a3a</t>
  </si>
  <si>
    <t xml:space="preserve">#f5f5ef</t>
  </si>
  <si>
    <t xml:space="preserve">#6a6040</t>
  </si>
  <si>
    <t xml:space="preserve">Big-leaved clumps persisting from the kitchen garden.</t>
  </si>
  <si>
    <t xml:space="preserve">Garden Sage</t>
  </si>
  <si>
    <t xml:space="preserve">#8a9a86</t>
  </si>
  <si>
    <t xml:space="preserve">#8a7ac8</t>
  </si>
  <si>
    <t xml:space="preserve">#7a8a76</t>
  </si>
  <si>
    <t xml:space="preserve">evergreen</t>
  </si>
  <si>
    <t xml:space="preserve">Woody gray clumps in sunny, dry garden corners.</t>
  </si>
  <si>
    <t xml:space="preserve">#7a9a3a</t>
  </si>
  <si>
    <t xml:space="preserve">#f5f2e8</t>
  </si>
  <si>
    <t xml:space="preserve">#6a7a40</t>
  </si>
  <si>
    <t xml:space="preserve">Self-sows from the garden into gravel and edges.</t>
  </si>
  <si>
    <t xml:space="preserve">#e8c02a</t>
  </si>
  <si>
    <t xml:space="preserve">#6a5030</t>
  </si>
  <si>
    <t xml:space="preserve">Spreading patches near the old garden; brown button heads in winter.</t>
  </si>
  <si>
    <t xml:space="preserve">Calendula</t>
  </si>
  <si>
    <t xml:space="preserve">#f0a020</t>
  </si>
  <si>
    <t xml:space="preserve">#7a6a40</t>
  </si>
  <si>
    <t xml:space="preserve">Self-sows in the old garden's loose soil.</t>
  </si>
  <si>
    <t xml:space="preserve">#7aa046</t>
  </si>
  <si>
    <t xml:space="preserve">#f6f4ec</t>
  </si>
  <si>
    <t xml:space="preserve">Annual volunteer in open garden soil.</t>
  </si>
  <si>
    <t xml:space="preserve">#f0d8e0</t>
  </si>
  <si>
    <t xml:space="preserve">Bouncing bet: spreads from the garden toward the road.</t>
  </si>
  <si>
    <t xml:space="preserve">vine</t>
  </si>
  <si>
    <t xml:space="preserve">#c8d27a</t>
  </si>
  <si>
    <t xml:space="preserve">#8a7a58</t>
  </si>
  <si>
    <t xml:space="preserve">Climbs the garden fence; dead bines hang in winter.</t>
  </si>
  <si>
    <t xml:space="preserve">#a8b0a0</t>
  </si>
  <si>
    <t xml:space="preserve">#d2d07a</t>
  </si>
  <si>
    <t xml:space="preserve">#9a9a8a</t>
  </si>
  <si>
    <t xml:space="preserve">Silver clumps in dry, sunny spots near the house.</t>
  </si>
  <si>
    <t xml:space="preserve">#4f6a40</t>
  </si>
  <si>
    <t xml:space="preserve">#a09a6a</t>
  </si>
  <si>
    <t xml:space="preserve">Rhizomatous patches along disturbed edges.</t>
  </si>
  <si>
    <t xml:space="preserve">#b8b07a</t>
  </si>
  <si>
    <t xml:space="preserve">#a8986a</t>
  </si>
  <si>
    <t xml:space="preserve">Annual grass of churned, rich ground.</t>
  </si>
  <si>
    <t xml:space="preserve">#c85a8a</t>
  </si>
  <si>
    <t xml:space="preserve">#5a6a40</t>
  </si>
  <si>
    <t xml:space="preserve">A relic of the pasture's hay days.</t>
  </si>
  <si>
    <t xml:space="preserve">#6a8a7a</t>
  </si>
  <si>
    <t xml:space="preserve">#c9a05a</t>
  </si>
  <si>
    <t xml:space="preserve">#b06a3a</t>
  </si>
  <si>
    <t xml:space="preserve">Lean, dry, unplowed ground; rust-orange bunches all winter.</t>
  </si>
  <si>
    <t xml:space="preserve">#5a7a6a</t>
  </si>
  <si>
    <t xml:space="preserve">#8a5a7a</t>
  </si>
  <si>
    <t xml:space="preserve">#a0603a</t>
  </si>
  <si>
    <t xml:space="preserve">Tall copper bunches in deeper prairie soil.</t>
  </si>
  <si>
    <t xml:space="preserve">#5a7a5a</t>
  </si>
  <si>
    <t xml:space="preserve">#b8a070</t>
  </si>
  <si>
    <t xml:space="preserve">#c0a070</t>
  </si>
  <si>
    <t xml:space="preserve">Moister swales in the old field.</t>
  </si>
  <si>
    <t xml:space="preserve">#7a8a5a</t>
  </si>
  <si>
    <t xml:space="preserve">#d8a868</t>
  </si>
  <si>
    <t xml:space="preserve">#d08a48</t>
  </si>
  <si>
    <t xml:space="preserve">Orange bunches on the poorest, most worn-out field soil.</t>
  </si>
  <si>
    <t xml:space="preserve">#3f6a35</t>
  </si>
  <si>
    <t xml:space="preserve">#8a8a6a</t>
  </si>
  <si>
    <t xml:space="preserve">#6a7a48</t>
  </si>
  <si>
    <t xml:space="preserve">Old pasture grass; stays green-gray all winter.</t>
  </si>
  <si>
    <t xml:space="preserve">#5a7a3a</t>
  </si>
  <si>
    <t xml:space="preserve">#a09a88</t>
  </si>
  <si>
    <t xml:space="preserve">Clonal patches that take over a field left alone.</t>
  </si>
  <si>
    <t xml:space="preserve">#4f6a35</t>
  </si>
  <si>
    <t xml:space="preserve">#8a4ac8</t>
  </si>
  <si>
    <t xml:space="preserve">#7a6a58</t>
  </si>
  <si>
    <t xml:space="preserve">Moist old-field swales.</t>
  </si>
  <si>
    <t xml:space="preserve">#e8a020</t>
  </si>
  <si>
    <t xml:space="preserve">#4a3a2a</t>
  </si>
  <si>
    <t xml:space="preserve">Short-lived; fills gaps in lean old fields.</t>
  </si>
  <si>
    <t xml:space="preserve">#c8a0d8</t>
  </si>
  <si>
    <t xml:space="preserve">#5a4a3a</t>
  </si>
  <si>
    <t xml:space="preserve">Prairie patches; dark seed heads stand all winter.</t>
  </si>
  <si>
    <t xml:space="preserve">#f0eef0</t>
  </si>
  <si>
    <t xml:space="preserve">Damp prairie swales.</t>
  </si>
  <si>
    <t xml:space="preserve">#f2f0e8</t>
  </si>
  <si>
    <t xml:space="preserve">Lean, open ground; ferny basal leaves stay green in winter.</t>
  </si>
  <si>
    <t xml:space="preserve">#6a8a5a</t>
  </si>
  <si>
    <t xml:space="preserve">#d8a0b8</t>
  </si>
  <si>
    <t xml:space="preserve">Colonies in old fields; split pods on dead stalks in winter.</t>
  </si>
  <si>
    <t xml:space="preserve">#8a62c0</t>
  </si>
  <si>
    <t xml:space="preserve">#4a5a38</t>
  </si>
  <si>
    <t xml:space="preserve">Low patches in lawns and path edges.</t>
  </si>
  <si>
    <t xml:space="preserve">#b0503a</t>
  </si>
  <si>
    <t xml:space="preserve">#7a4a3a</t>
  </si>
  <si>
    <t xml:space="preserve">Acid, worn-out soil; red seed stalks in late spring.</t>
  </si>
  <si>
    <t xml:space="preserve">#6a4a38</t>
  </si>
  <si>
    <t xml:space="preserve">Runners creep through short, lean sod.</t>
  </si>
  <si>
    <t xml:space="preserve">#e8d06a</t>
  </si>
  <si>
    <t xml:space="preserve">Scattered tall weed of field edges.</t>
  </si>
  <si>
    <t xml:space="preserve">fungus</t>
  </si>
  <si>
    <t xml:space="preserve">#f2efe6</t>
  </si>
  <si>
    <t xml:space="preserve">spores</t>
  </si>
  <si>
    <t xml:space="preserve">cluster</t>
  </si>
  <si>
    <t xml:space="preserve">Late-summer flushes in rich pasture after rain.</t>
  </si>
  <si>
    <t xml:space="preserve">#f08a20</t>
  </si>
  <si>
    <t xml:space="preserve">Dry, never-plowed prairie only.</t>
  </si>
  <si>
    <t xml:space="preserve">#c86aa8</t>
  </si>
  <si>
    <t xml:space="preserve">#3a2e24</t>
  </si>
  <si>
    <t xml:space="preserve">Remnant prairie; dark seed cones stand in winter.</t>
  </si>
  <si>
    <t xml:space="preserve">#8aa0a0</t>
  </si>
  <si>
    <t xml:space="preserve">#e8ece2</t>
  </si>
  <si>
    <t xml:space="preserve">#7a6a5a</t>
  </si>
  <si>
    <t xml:space="preserve">A strict remnant-prairie plant; never returns after plowing.</t>
  </si>
  <si>
    <t xml:space="preserve">#5a7a4a</t>
  </si>
  <si>
    <t xml:space="preserve">#f0c030</t>
  </si>
  <si>
    <t xml:space="preserve">#5a4a38</t>
  </si>
  <si>
    <t xml:space="preserve">Deep-rooted remnant giant; leaves point north–south.</t>
  </si>
  <si>
    <t xml:space="preserve">Sassafras</t>
  </si>
  <si>
    <t xml:space="preserve">tree</t>
  </si>
  <si>
    <t xml:space="preserve">woody</t>
  </si>
  <si>
    <t xml:space="preserve">#e0d460</t>
  </si>
  <si>
    <t xml:space="preserve">#5a5a3a</t>
  </si>
  <si>
    <t xml:space="preserve">bare</t>
  </si>
  <si>
    <t xml:space="preserve">upright</t>
  </si>
  <si>
    <t xml:space="preserve">Fencerow colonies from root suckers.</t>
  </si>
  <si>
    <t xml:space="preserve">#e8e4c0</t>
  </si>
  <si>
    <t xml:space="preserve">#3a3a34</t>
  </si>
  <si>
    <t xml:space="preserve">Fencerows and old fields; fruit ripens after frost.</t>
  </si>
  <si>
    <t xml:space="preserve">cane</t>
  </si>
  <si>
    <t xml:space="preserve">#a8a0b8</t>
  </si>
  <si>
    <t xml:space="preserve">arching</t>
  </si>
  <si>
    <t xml:space="preserve">Bird-sown at fence lines; waxy purple-white canes in winter.</t>
  </si>
  <si>
    <t xml:space="preserve">Blackberry</t>
  </si>
  <si>
    <t xml:space="preserve">#6a2a2a</t>
  </si>
  <si>
    <t xml:space="preserve">Thorny thickets in sunny fencerow gaps.</t>
  </si>
  <si>
    <t xml:space="preserve">Smooth Sumac</t>
  </si>
  <si>
    <t xml:space="preserve">shrub</t>
  </si>
  <si>
    <t xml:space="preserve">#d8d8a0</t>
  </si>
  <si>
    <t xml:space="preserve">#8a3a2a</t>
  </si>
  <si>
    <t xml:space="preserve">vase</t>
  </si>
  <si>
    <t xml:space="preserve">Clonal stands creeping into unmowed fields.</t>
  </si>
  <si>
    <t xml:space="preserve">#27402a</t>
  </si>
  <si>
    <t xml:space="preserve">#6a7a5a</t>
  </si>
  <si>
    <t xml:space="preserve">#2e4630</t>
  </si>
  <si>
    <t xml:space="preserve">conifer</t>
  </si>
  <si>
    <t xml:space="preserve">Bird-planted along every fence; invades prairie that isn't burned.</t>
  </si>
  <si>
    <t xml:space="preserve">Pasture Rose</t>
  </si>
  <si>
    <t xml:space="preserve">#e8a0b8</t>
  </si>
  <si>
    <t xml:space="preserve">#8a3a30</t>
  </si>
  <si>
    <t xml:space="preserve">Low thorny clumps in old fencerows; red hips in winter.</t>
  </si>
  <si>
    <t xml:space="preserve">#e0e0b0</t>
  </si>
  <si>
    <t xml:space="preserve">Climbs fence posts and trees where birds drop seed.</t>
  </si>
  <si>
    <t xml:space="preserve">#c8d0a0</t>
  </si>
  <si>
    <t xml:space="preserve">Five-leaflet vine on fencerow trees; looks like grape until you count.</t>
  </si>
  <si>
    <t xml:space="preserve">#d8dca0</t>
  </si>
  <si>
    <t xml:space="preserve">#6a4a30</t>
  </si>
  <si>
    <t xml:space="preserve">Shreddy-barked tangles over fencerow shrubs.</t>
  </si>
  <si>
    <t xml:space="preserve">Wild Cherry</t>
  </si>
  <si>
    <t xml:space="preserve">#3a3430</t>
  </si>
  <si>
    <t xml:space="preserve">The commonest bird-planted fencerow tree.</t>
  </si>
  <si>
    <t xml:space="preserve">#4a4038</t>
  </si>
  <si>
    <t xml:space="preserve">spreading</t>
  </si>
  <si>
    <t xml:space="preserve">Thorny small tree of old pastures and fences.</t>
  </si>
  <si>
    <t xml:space="preserve">Fencerow and woods-edge tree; fruit in June.</t>
  </si>
  <si>
    <t xml:space="preserve">Black Walnut</t>
  </si>
  <si>
    <t xml:space="preserve">#a8b070</t>
  </si>
  <si>
    <t xml:space="preserve">#2e2a26</t>
  </si>
  <si>
    <t xml:space="preserve">caching</t>
  </si>
  <si>
    <t xml:space="preserve">Rich edge soil; squirrels plant the nuts.</t>
  </si>
  <si>
    <t xml:space="preserve">Shagbark Hickory</t>
  </si>
  <si>
    <t xml:space="preserve">#5a5048</t>
  </si>
  <si>
    <t xml:space="preserve">Upland woods edge; shaggy bark plates.</t>
  </si>
  <si>
    <t xml:space="preserve">White Oak</t>
  </si>
  <si>
    <t xml:space="preserve">#c8c070</t>
  </si>
  <si>
    <t xml:space="preserve">#8a8478</t>
  </si>
  <si>
    <t xml:space="preserve">The dominant upland tree behind the field.</t>
  </si>
  <si>
    <t xml:space="preserve">Sugar Maple</t>
  </si>
  <si>
    <t xml:space="preserve">#c8c060</t>
  </si>
  <si>
    <t xml:space="preserve">#4a4440</t>
  </si>
  <si>
    <t xml:space="preserve">Shade-tolerant upland tree; tapped for sap in late winter.</t>
  </si>
  <si>
    <t xml:space="preserve">Spicebush</t>
  </si>
  <si>
    <t xml:space="preserve">#e8d040</t>
  </si>
  <si>
    <t xml:space="preserve">multistem</t>
  </si>
  <si>
    <t xml:space="preserve">Moist woods edge; yellow bloom on bare twigs in March.</t>
  </si>
  <si>
    <t xml:space="preserve">Bush Honeysuckle</t>
  </si>
  <si>
    <t xml:space="preserve">#f5f2e2</t>
  </si>
  <si>
    <t xml:space="preserve">Invasive; first shrub to leaf out in spring, last to drop.</t>
  </si>
  <si>
    <t xml:space="preserve">#6a6a5a</t>
  </si>
  <si>
    <t xml:space="preserve">Wet drainage notches at the woods edge and ditch.</t>
  </si>
  <si>
    <t xml:space="preserve">#3f7a30</t>
  </si>
  <si>
    <t xml:space="preserve">Invades shaded edges; dark green rosettes all winter.</t>
  </si>
  <si>
    <t xml:space="preserve">Sticky sprawl in rich, shaded edges in spring.</t>
  </si>
  <si>
    <t xml:space="preserve">#6a9a4a</t>
  </si>
  <si>
    <t xml:space="preserve">Wet, shaded drainage at the woods edge.</t>
  </si>
  <si>
    <t xml:space="preserve">Mayapple</t>
  </si>
  <si>
    <t xml:space="preserve">Colonies of umbrellas under the woods edge; gone by midsummer.</t>
  </si>
  <si>
    <t xml:space="preserve">fungusBracket</t>
  </si>
  <si>
    <t xml:space="preserve">#f0a030</t>
  </si>
  <si>
    <t xml:space="preserve">#f0c040</t>
  </si>
  <si>
    <t xml:space="preserve">#a07040</t>
  </si>
  <si>
    <t xml:space="preserve">wood</t>
  </si>
  <si>
    <t xml:space="preserve">Bright shelves on dead and dying oak.</t>
  </si>
  <si>
    <t xml:space="preserve">#8a7a6a</t>
  </si>
  <si>
    <t xml:space="preserve">#b8a890</t>
  </si>
  <si>
    <t xml:space="preserve">Thin banded brackets on fallen logs, all year.</t>
  </si>
  <si>
    <t xml:space="preserve">sedge</t>
  </si>
  <si>
    <t xml:space="preserve">#c8b07a</t>
  </si>
  <si>
    <t xml:space="preserve">Fine sedge lawns under the woods edge.</t>
  </si>
  <si>
    <t xml:space="preserve">Code</t>
  </si>
  <si>
    <t xml:space="preserve">Class</t>
  </si>
  <si>
    <t xml:space="preserve">What it is (in game)</t>
  </si>
  <si>
    <t xml:space="preserve">Best Extraction</t>
  </si>
  <si>
    <t xml:space="preserve">Destroyed / Degraded By</t>
  </si>
  <si>
    <t xml:space="preserve">Gameplay Role</t>
  </si>
  <si>
    <t xml:space="preserve">Key Interaction</t>
  </si>
  <si>
    <t xml:space="preserve"># Species Carrying</t>
  </si>
  <si>
    <t xml:space="preserve">Avg Strength</t>
  </si>
  <si>
    <t xml:space="preserve">Alkaloids</t>
  </si>
  <si>
    <t xml:space="preserve">Nitrogen bases; strong bodily effects</t>
  </si>
  <si>
    <t xml:space="preserve">Acid-water or alcohol</t>
  </si>
  <si>
    <t xml:space="preserve">Heat &gt;80°C</t>
  </si>
  <si>
    <t xml:space="preserve">Most potent class; narrowest safety margin</t>
  </si>
  <si>
    <t xml:space="preserve">Neutralized by TAN (precipitates)</t>
  </si>
  <si>
    <t xml:space="preserve">Anthocyanins</t>
  </si>
  <si>
    <t xml:space="preserve">Red-purple-blue pigments</t>
  </si>
  <si>
    <t xml:space="preserve">Water / alcohol</t>
  </si>
  <si>
    <t xml:space="preserve">Light, high pH</t>
  </si>
  <si>
    <t xml:space="preserve">Color shifts with pH — a built-in indicator</t>
  </si>
  <si>
    <t xml:space="preserve">Boosted by ACI (reddens)</t>
  </si>
  <si>
    <t xml:space="preserve">Organic Acids</t>
  </si>
  <si>
    <t xml:space="preserve">Sourness; preservation</t>
  </si>
  <si>
    <t xml:space="preserve">Water</t>
  </si>
  <si>
    <t xml:space="preserve">Stable</t>
  </si>
  <si>
    <t xml:space="preserve">Lowers batch pH; extends shelf life</t>
  </si>
  <si>
    <t xml:space="preserve">Pulls ALK into water</t>
  </si>
  <si>
    <t xml:space="preserve">Bitters</t>
  </si>
  <si>
    <t xml:space="preserve">Bitter principles</t>
  </si>
  <si>
    <t xml:space="preserve">Digestive actions; hard to mask</t>
  </si>
  <si>
    <t xml:space="preserve">Masked by SUG + VOL</t>
  </si>
  <si>
    <t xml:space="preserve">Coumarins</t>
  </si>
  <si>
    <t xml:space="preserve">Sweet hay scent; some photo-reactive</t>
  </si>
  <si>
    <t xml:space="preserve">Alcohol / oil</t>
  </si>
  <si>
    <t xml:space="preserve">UV light</t>
  </si>
  <si>
    <t xml:space="preserve">Sun-reaction risk in some species</t>
  </si>
  <si>
    <t xml:space="preserve">—</t>
  </si>
  <si>
    <t xml:space="preserve">Flavonoids</t>
  </si>
  <si>
    <t xml:space="preserve">Broad gentle protective compounds</t>
  </si>
  <si>
    <t xml:space="preserve">Alcohol</t>
  </si>
  <si>
    <t xml:space="preserve">Slow</t>
  </si>
  <si>
    <t xml:space="preserve">Stack well; low risk</t>
  </si>
  <si>
    <t xml:space="preserve">Synergy with ACI</t>
  </si>
  <si>
    <t xml:space="preserve">Glycosides</t>
  </si>
  <si>
    <t xml:space="preserve">Sugar-bound actives (incl. heart &amp; cyanogenic)</t>
  </si>
  <si>
    <t xml:space="preserve">Fermentation, crushing</t>
  </si>
  <si>
    <t xml:space="preserve">Hidden potency — released by crushing or time</t>
  </si>
  <si>
    <t xml:space="preserve">Released by ferment</t>
  </si>
  <si>
    <t xml:space="preserve">Latex</t>
  </si>
  <si>
    <t xml:space="preserve">Milky sap</t>
  </si>
  <si>
    <t xml:space="preserve">Air (gums up)</t>
  </si>
  <si>
    <t xml:space="preserve">Handle fresh</t>
  </si>
  <si>
    <t xml:space="preserve">Mucilage</t>
  </si>
  <si>
    <t xml:space="preserve">Slime; coats and soothes</t>
  </si>
  <si>
    <t xml:space="preserve">Cold water</t>
  </si>
  <si>
    <t xml:space="preserve">Heat, alcohol</t>
  </si>
  <si>
    <t xml:space="preserve">The game's binder &amp; thickener</t>
  </si>
  <si>
    <t xml:space="preserve">Ruined by alcohol</t>
  </si>
  <si>
    <t xml:space="preserve">Pigments</t>
  </si>
  <si>
    <t xml:space="preserve">Dye molecules</t>
  </si>
  <si>
    <t xml:space="preserve">Water (mordant)</t>
  </si>
  <si>
    <t xml:space="preserve">Light</t>
  </si>
  <si>
    <t xml:space="preserve">Dye path; mordant choice sets color</t>
  </si>
  <si>
    <t xml:space="preserve">Fixed by TAN or alum</t>
  </si>
  <si>
    <t xml:space="preserve">Resins</t>
  </si>
  <si>
    <t xml:space="preserve">Sticky, waxy, oil-soluble</t>
  </si>
  <si>
    <t xml:space="preserve">Oil / high-proof alcohol</t>
  </si>
  <si>
    <t xml:space="preserve">Salves &amp; smokes; slow release</t>
  </si>
  <si>
    <t xml:space="preserve">Carried by oils &amp; fats</t>
  </si>
  <si>
    <t xml:space="preserve">Saponins</t>
  </si>
  <si>
    <t xml:space="preserve">Foaming, soapy</t>
  </si>
  <si>
    <t xml:space="preserve">Emulsifier; mild toxicity</t>
  </si>
  <si>
    <t xml:space="preserve">Lets oil &amp; water mix</t>
  </si>
  <si>
    <t xml:space="preserve">Sugars &amp; Starches</t>
  </si>
  <si>
    <t xml:space="preserve">Food value, fermentable</t>
  </si>
  <si>
    <t xml:space="preserve">Heat (caramelize)</t>
  </si>
  <si>
    <t xml:space="preserve">Fuel for fermentation; flavor masking</t>
  </si>
  <si>
    <t xml:space="preserve">Feeds ferment → alcohol</t>
  </si>
  <si>
    <t xml:space="preserve">Tannins</t>
  </si>
  <si>
    <t xml:space="preserve">Astringent, binding</t>
  </si>
  <si>
    <t xml:space="preserve">Hot water</t>
  </si>
  <si>
    <t xml:space="preserve">Iron (blackens)</t>
  </si>
  <si>
    <t xml:space="preserve">Wound/astringent; precipitates alkaloids</t>
  </si>
  <si>
    <t xml:space="preserve">Counters ALK; fixes PIG</t>
  </si>
  <si>
    <t xml:space="preserve">Volatile Oils</t>
  </si>
  <si>
    <t xml:space="preserve">Aromatics</t>
  </si>
  <si>
    <t xml:space="preserve">Steam distillation / oil</t>
  </si>
  <si>
    <t xml:space="preserve">Heat, time</t>
  </si>
  <si>
    <t xml:space="preserve">Lost if dried hot — a storage test</t>
  </si>
  <si>
    <t xml:space="preserve">Masks BIT</t>
  </si>
  <si>
    <t xml:space="preserve">Spore Compounds</t>
  </si>
  <si>
    <t xml:space="preserve">Fungal network signals (fictional)</t>
  </si>
  <si>
    <t xml:space="preserve">Smoke / ingestion</t>
  </si>
  <si>
    <t xml:space="preserve">Network-perception tier</t>
  </si>
  <si>
    <t xml:space="preserve">Amplified by RHZ</t>
  </si>
  <si>
    <t xml:space="preserve">Rhizine</t>
  </si>
  <si>
    <t xml:space="preserve">Mycelial 'blood' (fictional)</t>
  </si>
  <si>
    <t xml:space="preserve">Fresh only</t>
  </si>
  <si>
    <t xml:space="preserve">Drying destroys it</t>
  </si>
  <si>
    <t xml:space="preserve">Binds living things together</t>
  </si>
  <si>
    <t xml:space="preserve">Amplifies SPR</t>
  </si>
  <si>
    <t xml:space="preserve">Method</t>
  </si>
  <si>
    <t xml:space="preserve">Station</t>
  </si>
  <si>
    <t xml:space="preserve">Time</t>
  </si>
  <si>
    <t xml:space="preserve">Best Inputs</t>
  </si>
  <si>
    <t xml:space="preserve">Strengths</t>
  </si>
  <si>
    <t xml:space="preserve">Failure Modes</t>
  </si>
  <si>
    <t xml:space="preserve">Player-Controlled Variable</t>
  </si>
  <si>
    <t xml:space="preserve">Air Dry</t>
  </si>
  <si>
    <t xml:space="preserve">Rack</t>
  </si>
  <si>
    <t xml:space="preserve">2–7 days</t>
  </si>
  <si>
    <t xml:space="preserve">Leaf, Flower, Whole</t>
  </si>
  <si>
    <t xml:space="preserve">Concentrates; keeps most compounds</t>
  </si>
  <si>
    <t xml:space="preserve">VOL loss if hung in sun/heat; mold if humid</t>
  </si>
  <si>
    <t xml:space="preserve">Drying room humidity &amp; airflow</t>
  </si>
  <si>
    <t xml:space="preserve">Oven Dry</t>
  </si>
  <si>
    <t xml:space="preserve">Stone oven</t>
  </si>
  <si>
    <t xml:space="preserve">2 hrs</t>
  </si>
  <si>
    <t xml:space="preserve">Root, Bark, Seed</t>
  </si>
  <si>
    <t xml:space="preserve">Fast</t>
  </si>
  <si>
    <t xml:space="preserve">Destroys VOL &amp; RHZ; scorches above set temp</t>
  </si>
  <si>
    <t xml:space="preserve">Dial temperature</t>
  </si>
  <si>
    <t xml:space="preserve">Grind</t>
  </si>
  <si>
    <t xml:space="preserve">Mortar &amp; pestle</t>
  </si>
  <si>
    <t xml:space="preserve">Hand motion</t>
  </si>
  <si>
    <t xml:space="preserve">Any dried part</t>
  </si>
  <si>
    <t xml:space="preserve">Raises extraction yield; releases GLY</t>
  </si>
  <si>
    <t xml:space="preserve">Over-grinding heats &amp; loses VOL</t>
  </si>
  <si>
    <t xml:space="preserve">Physical grind count (VR gesture)</t>
  </si>
  <si>
    <t xml:space="preserve">Cold Infusion</t>
  </si>
  <si>
    <t xml:space="preserve">Jar + water</t>
  </si>
  <si>
    <t xml:space="preserve">12 hrs</t>
  </si>
  <si>
    <t xml:space="preserve">MUC plants</t>
  </si>
  <si>
    <t xml:space="preserve">Pulls mucilage intact</t>
  </si>
  <si>
    <t xml:space="preserve">Weak on everything else</t>
  </si>
  <si>
    <t xml:space="preserve">Steep time</t>
  </si>
  <si>
    <t xml:space="preserve">Hot Infusion (tea)</t>
  </si>
  <si>
    <t xml:space="preserve">Kettle</t>
  </si>
  <si>
    <t xml:space="preserve">5–15 min</t>
  </si>
  <si>
    <t xml:space="preserve">Leaf, Flower</t>
  </si>
  <si>
    <t xml:space="preserve">Fast water extract</t>
  </si>
  <si>
    <t xml:space="preserve">Pulls TAN — over-steep = harsh</t>
  </si>
  <si>
    <t xml:space="preserve">Steep time &amp; temp</t>
  </si>
  <si>
    <t xml:space="preserve">Decoction</t>
  </si>
  <si>
    <t xml:space="preserve">Pot</t>
  </si>
  <si>
    <t xml:space="preserve">20–60 min simmer</t>
  </si>
  <si>
    <t xml:space="preserve">Root, Bark, Fruiting body</t>
  </si>
  <si>
    <t xml:space="preserve">Extracts tough material</t>
  </si>
  <si>
    <t xml:space="preserve">Boils off VOL; kills MUC</t>
  </si>
  <si>
    <t xml:space="preserve">Simmer time; reduce volume</t>
  </si>
  <si>
    <t xml:space="preserve">Tincture</t>
  </si>
  <si>
    <t xml:space="preserve">Spirit jar</t>
  </si>
  <si>
    <t xml:space="preserve">14–28 days</t>
  </si>
  <si>
    <t xml:space="preserve">Most</t>
  </si>
  <si>
    <t xml:space="preserve">Long shelf life; pulls ALK, RES, FLA</t>
  </si>
  <si>
    <t xml:space="preserve">Kills MUC; needs spirit (distilled)</t>
  </si>
  <si>
    <t xml:space="preserve">Proof % and macerate days</t>
  </si>
  <si>
    <t xml:space="preserve">Acetum</t>
  </si>
  <si>
    <t xml:space="preserve">Vinegar jar</t>
  </si>
  <si>
    <t xml:space="preserve">14 days</t>
  </si>
  <si>
    <t xml:space="preserve">ALK &amp; mineral plants</t>
  </si>
  <si>
    <t xml:space="preserve">Pulls ALK; no alcohol needed</t>
  </si>
  <si>
    <t xml:space="preserve">Weaker than tincture</t>
  </si>
  <si>
    <t xml:space="preserve">Vinegar made in-house from ferments</t>
  </si>
  <si>
    <t xml:space="preserve">Infused Oil</t>
  </si>
  <si>
    <t xml:space="preserve">Oil jar / double boiler</t>
  </si>
  <si>
    <t xml:space="preserve">2–6 weeks or 4 hrs warm</t>
  </si>
  <si>
    <t xml:space="preserve">RES, VOL plants</t>
  </si>
  <si>
    <t xml:space="preserve">Salve base</t>
  </si>
  <si>
    <t xml:space="preserve">Rancid if water present (fresh herb)</t>
  </si>
  <si>
    <t xml:space="preserve">Dryness of input</t>
  </si>
  <si>
    <t xml:space="preserve">Salve</t>
  </si>
  <si>
    <t xml:space="preserve">Double boiler + beeswax</t>
  </si>
  <si>
    <t xml:space="preserve">30 min</t>
  </si>
  <si>
    <t xml:space="preserve">Infused oil</t>
  </si>
  <si>
    <t xml:space="preserve">Shelf-stable topical</t>
  </si>
  <si>
    <t xml:space="preserve">Wax ratio sets hardness</t>
  </si>
  <si>
    <t xml:space="preserve">Oil:wax ratio</t>
  </si>
  <si>
    <t xml:space="preserve">Syrup</t>
  </si>
  <si>
    <t xml:space="preserve">Pot + honey/sugar</t>
  </si>
  <si>
    <t xml:space="preserve">20 min</t>
  </si>
  <si>
    <t xml:space="preserve">Decoctions, fruit</t>
  </si>
  <si>
    <t xml:space="preserve">Masks bitterness; preserves</t>
  </si>
  <si>
    <t xml:space="preserve">Ferments if under-sugared</t>
  </si>
  <si>
    <t xml:space="preserve">Sugar ratio</t>
  </si>
  <si>
    <t xml:space="preserve">Steam Distill</t>
  </si>
  <si>
    <t xml:space="preserve">Copper still</t>
  </si>
  <si>
    <t xml:space="preserve">3 hrs</t>
  </si>
  <si>
    <t xml:space="preserve">VOL plants</t>
  </si>
  <si>
    <t xml:space="preserve">Pure essential oil + hydrosol</t>
  </si>
  <si>
    <t xml:space="preserve">Huge plant input; explosive if blocked</t>
  </si>
  <si>
    <t xml:space="preserve">Pressure &amp; flow</t>
  </si>
  <si>
    <t xml:space="preserve">Ferment</t>
  </si>
  <si>
    <t xml:space="preserve">Crock</t>
  </si>
  <si>
    <t xml:space="preserve">5–30 days</t>
  </si>
  <si>
    <t xml:space="preserve">SUG plants, GLY plants</t>
  </si>
  <si>
    <t xml:space="preserve">Makes alcohol &amp; vinegar; unlocks GLY</t>
  </si>
  <si>
    <t xml:space="preserve">Spoils if contaminated</t>
  </si>
  <si>
    <t xml:space="preserve">Cleanliness, temp</t>
  </si>
  <si>
    <t xml:space="preserve">Leach</t>
  </si>
  <si>
    <t xml:space="preserve">Flowing water</t>
  </si>
  <si>
    <t xml:space="preserve">1–3 days</t>
  </si>
  <si>
    <t xml:space="preserve">Acorns, TAN plants</t>
  </si>
  <si>
    <t xml:space="preserve">Removes TAN &amp; bitterness</t>
  </si>
  <si>
    <t xml:space="preserve">Removes water-soluble actives too</t>
  </si>
  <si>
    <t xml:space="preserve">Number of water changes</t>
  </si>
  <si>
    <t xml:space="preserve">Smoke / Burn</t>
  </si>
  <si>
    <t xml:space="preserve">Censer</t>
  </si>
  <si>
    <t xml:space="preserve">Instant</t>
  </si>
  <si>
    <t xml:space="preserve">SPR, VOL, RES plants</t>
  </si>
  <si>
    <t xml:space="preserve">Network perception; pest control</t>
  </si>
  <si>
    <t xml:space="preserve">Inhalation effects</t>
  </si>
  <si>
    <t xml:space="preserve">Blend proportions</t>
  </si>
  <si>
    <t xml:space="preserve">Mordant Dye</t>
  </si>
  <si>
    <t xml:space="preserve">Vat + alum/iron</t>
  </si>
  <si>
    <t xml:space="preserve">1–2 hrs</t>
  </si>
  <si>
    <t xml:space="preserve">PIG plants</t>
  </si>
  <si>
    <t xml:space="preserve">Cloth dye trade line</t>
  </si>
  <si>
    <t xml:space="preserve">Iron saddens colors</t>
  </si>
  <si>
    <t xml:space="preserve">Mordant choice</t>
  </si>
  <si>
    <t xml:space="preserve">Graft</t>
  </si>
  <si>
    <t xml:space="preserve">Living altar</t>
  </si>
  <si>
    <t xml:space="preserve">1 season</t>
  </si>
  <si>
    <t xml:space="preserve">Garden plants + Graftwort</t>
  </si>
  <si>
    <t xml:space="preserve">Hybrid species with merged compounds</t>
  </si>
  <si>
    <t xml:space="preserve">Rejection kills both</t>
  </si>
  <si>
    <t xml:space="preserve">Compatibility score</t>
  </si>
  <si>
    <t xml:space="preserve">Species</t>
  </si>
  <si>
    <t xml:space="preserve">Part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</si>
  <si>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</si>
  <si>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</si>
  <si>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</si>
  <si>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</si>
  <si>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</si>
  <si>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</si>
  <si>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</si>
  <si>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</si>
  <si>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</si>
  <si>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</si>
  <si>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</si>
  <si>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</si>
  <si>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Species harvestable</t>
  </si>
  <si>
    <t xml:space="preserve">Legend: H = harvest window, S = seed collection month, HS = both</t>
  </si>
  <si>
    <t xml:space="preserve">Description</t>
  </si>
  <si>
    <t xml:space="preserve">Flora Signature</t>
  </si>
  <si>
    <t xml:space="preserve">Creature Clues</t>
  </si>
  <si>
    <t xml:space="preserve">Dynamics</t>
  </si>
  <si>
    <t xml:space="preserve"># Species</t>
  </si>
  <si>
    <t xml:space="preserve"># Rare Actives</t>
  </si>
  <si>
    <t xml:space="preserve">Avg Toxicity</t>
  </si>
  <si>
    <t xml:space="preserve">Field edges, ruins, roads</t>
  </si>
  <si>
    <t xml:space="preserve">Common weeds — the tutorial biome; everything you need for basics</t>
  </si>
  <si>
    <t xml:space="preserve">Rabbits, sparrows</t>
  </si>
  <si>
    <t xml:space="preserve">Abundant; fast regrowth</t>
  </si>
  <si>
    <t xml:space="preserve">Tallgrass remnant; burns every few years</t>
  </si>
  <si>
    <t xml:space="preserve">Deep-rooted perennials; fire-dependent species (Ashen Clover)</t>
  </si>
  <si>
    <t xml:space="preserve">Bison herd, meadowlarks, prairie chickens</t>
  </si>
  <si>
    <t xml:space="preserve">Fire cycle resets patches</t>
  </si>
  <si>
    <t xml:space="preserve">Scattered oaks over grass</t>
  </si>
  <si>
    <t xml:space="preserve">Bark, nuts, fruit; dye plants</t>
  </si>
  <si>
    <t xml:space="preserve">Deer, wild turkey</t>
  </si>
  <si>
    <t xml:space="preserve">Mast years vary</t>
  </si>
  <si>
    <t xml:space="preserve">Shawnee-style hills, deep shade</t>
  </si>
  <si>
    <t xml:space="preserve">Spring ephemerals; the rare root trade (ginseng, goldenseal)</t>
  </si>
  <si>
    <t xml:space="preserve">Box turtles, ruffed grouse, black bear (rare)</t>
  </si>
  <si>
    <t xml:space="preserve">Overharvest crashes patches for years</t>
  </si>
  <si>
    <t xml:space="preserve">Floodplain, rich soil</t>
  </si>
  <si>
    <t xml:space="preserve">Fruits, nettles, morels after floods</t>
  </si>
  <si>
    <t xml:space="preserve">Raccoons, wood ducks, beaver</t>
  </si>
  <si>
    <t xml:space="preserve">Floods relocate patches</t>
  </si>
  <si>
    <t xml:space="preserve">Gravel bars, river edges</t>
  </si>
  <si>
    <t xml:space="preserve">Willow, elder, horsetail</t>
  </si>
  <si>
    <t xml:space="preserve">Otters, herons, kingfishers</t>
  </si>
  <si>
    <t xml:space="preserve">Season-dependent access</t>
  </si>
  <si>
    <t xml:space="preserve">Marsh, swamp, fen</t>
  </si>
  <si>
    <t xml:space="preserve">Starches, bitters, nerve herbs</t>
  </si>
  <si>
    <t xml:space="preserve">Muskrats, cottonmouth (venom source), frogs</t>
  </si>
  <si>
    <t xml:space="preserve">Water level gates access</t>
  </si>
  <si>
    <t xml:space="preserve">Cliffs, glades, overhangs</t>
  </si>
  <si>
    <t xml:space="preserve">Lichens, cactus, cedar; climbing required</t>
  </si>
  <si>
    <t xml:space="preserve">Ravens, timber rattlesnake, bats</t>
  </si>
  <si>
    <t xml:space="preserve">Dangerous traverse</t>
  </si>
  <si>
    <t xml:space="preserve">Abandoned farms &amp; gardens</t>
  </si>
  <si>
    <t xml:space="preserve">Escaped European herbs; old orchards</t>
  </si>
  <si>
    <t xml:space="preserve">Feral cats, barn owls, honeybees</t>
  </si>
  <si>
    <t xml:space="preserve">Houses ruins/lore</t>
  </si>
  <si>
    <t xml:space="preserve">Sinkholes where the Network surfaces (fictional)</t>
  </si>
  <si>
    <t xml:space="preserve">All fictional rare actives</t>
  </si>
  <si>
    <t xml:space="preserve">Network-touched creatures</t>
  </si>
  <si>
    <t xml:space="preserve">Only reachable after reading the Network</t>
  </si>
  <si>
    <t xml:space="preserve">Product</t>
  </si>
  <si>
    <t xml:space="preserve">Source Creature</t>
  </si>
  <si>
    <t xml:space="preserve">Harvest Method</t>
  </si>
  <si>
    <t xml:space="preserve">Compound Profile</t>
  </si>
  <si>
    <t xml:space="preserve">Traditional / Game Use</t>
  </si>
  <si>
    <t xml:space="preserve">Ethics &amp; Reputation</t>
  </si>
  <si>
    <t xml:space="preserve">Honeybee (tamed hive)</t>
  </si>
  <si>
    <t xml:space="preserve">Harvest frames</t>
  </si>
  <si>
    <t xml:space="preserve">SUG8</t>
  </si>
  <si>
    <t xml:space="preserve">Syrups, preservation, wound dressing</t>
  </si>
  <si>
    <t xml:space="preserve">Ethical — hive thrives if you leave 1/3</t>
  </si>
  <si>
    <t xml:space="preserve">Beeswax</t>
  </si>
  <si>
    <t xml:space="preserve">Render comb</t>
  </si>
  <si>
    <t xml:space="preserve">RES (carrier)</t>
  </si>
  <si>
    <t xml:space="preserve">Salves, candles, seals</t>
  </si>
  <si>
    <t xml:space="preserve">Ethical</t>
  </si>
  <si>
    <t xml:space="preserve">Propolis</t>
  </si>
  <si>
    <t xml:space="preserve">Scrape hive</t>
  </si>
  <si>
    <t xml:space="preserve">RES6 FLA4</t>
  </si>
  <si>
    <t xml:space="preserve">Antimicrobial tincture</t>
  </si>
  <si>
    <t xml:space="preserve">Goat Milk</t>
  </si>
  <si>
    <t xml:space="preserve">Tamed goat</t>
  </si>
  <si>
    <t xml:space="preserve">Milk daily</t>
  </si>
  <si>
    <t xml:space="preserve">SUG3 + fat</t>
  </si>
  <si>
    <t xml:space="preserve">Soap, cream base</t>
  </si>
  <si>
    <t xml:space="preserve">Ethical; bonded goat yields more</t>
  </si>
  <si>
    <t xml:space="preserve">Eggs</t>
  </si>
  <si>
    <t xml:space="preserve">Tamed hens / turkey</t>
  </si>
  <si>
    <t xml:space="preserve">Collect</t>
  </si>
  <si>
    <t xml:space="preserve">Protein</t>
  </si>
  <si>
    <t xml:space="preserve">Clarifying agent (egg white), binder</t>
  </si>
  <si>
    <t xml:space="preserve">Wool</t>
  </si>
  <si>
    <t xml:space="preserve">Tamed sheep</t>
  </si>
  <si>
    <t xml:space="preserve">Shear in spring</t>
  </si>
  <si>
    <t xml:space="preserve">Strainer cloth, dye trade</t>
  </si>
  <si>
    <t xml:space="preserve">Shed Antler</t>
  </si>
  <si>
    <t xml:space="preserve">Deer</t>
  </si>
  <si>
    <t xml:space="preserve">Find in late winter</t>
  </si>
  <si>
    <t xml:space="preserve">Mineral</t>
  </si>
  <si>
    <t xml:space="preserve">Antler-horn ash, tool handles</t>
  </si>
  <si>
    <t xml:space="preserve">Found, not taken</t>
  </si>
  <si>
    <t xml:space="preserve">Molted Feathers</t>
  </si>
  <si>
    <t xml:space="preserve">Turkey, hawk, owl</t>
  </si>
  <si>
    <t xml:space="preserve">Find / gift from bonded birds</t>
  </si>
  <si>
    <t xml:space="preserve">Ritual smudge fans, quills for labels</t>
  </si>
  <si>
    <t xml:space="preserve">Found</t>
  </si>
  <si>
    <t xml:space="preserve">Rendered Lard / Tallow</t>
  </si>
  <si>
    <t xml:space="preserve">Hunted or farm animal</t>
  </si>
  <si>
    <t xml:space="preserve">Render fat</t>
  </si>
  <si>
    <t xml:space="preserve">Fat (carrier)</t>
  </si>
  <si>
    <t xml:space="preserve">Salve base (cheaper than oil)</t>
  </si>
  <si>
    <t xml:space="preserve">Hunting option — local wildlife grows wary</t>
  </si>
  <si>
    <t xml:space="preserve">Bear Grease</t>
  </si>
  <si>
    <t xml:space="preserve">Black bear</t>
  </si>
  <si>
    <t xml:space="preserve">Hunt (rare, reputation hit)</t>
  </si>
  <si>
    <t xml:space="preserve">Fat (premium carrier)</t>
  </si>
  <si>
    <t xml:space="preserve">Premium salve base; folk hair tonic</t>
  </si>
  <si>
    <t xml:space="preserve">Heavy reputation cost; protected status in some regions</t>
  </si>
  <si>
    <t xml:space="preserve">Snake Venom</t>
  </si>
  <si>
    <t xml:space="preserve">Timber rattlesnake / cottonmouth</t>
  </si>
  <si>
    <t xml:space="preserve">Milk a captured snake (skill check)</t>
  </si>
  <si>
    <t xml:space="preserve">Venom</t>
  </si>
  <si>
    <t xml:space="preserve">Antivenom crafting (with Rattlesnake Master)</t>
  </si>
  <si>
    <t xml:space="preserve">Release unharmed for bonus</t>
  </si>
  <si>
    <t xml:space="preserve">Shed Snakeskin</t>
  </si>
  <si>
    <t xml:space="preserve">Rat snake</t>
  </si>
  <si>
    <t xml:space="preserve">Find</t>
  </si>
  <si>
    <t xml:space="preserve">Curio / folk charm trade</t>
  </si>
  <si>
    <t xml:space="preserve">Castoreum</t>
  </si>
  <si>
    <t xml:space="preserve">Beaver</t>
  </si>
  <si>
    <t xml:space="preserve">Bonded beaver gift or trapping</t>
  </si>
  <si>
    <t xml:space="preserve">VOL4</t>
  </si>
  <si>
    <t xml:space="preserve">Perfume fixative, vanilla note</t>
  </si>
  <si>
    <t xml:space="preserve">Bonded path preferred</t>
  </si>
  <si>
    <t xml:space="preserve">Snail Slime</t>
  </si>
  <si>
    <t xml:space="preserve">Garden snails</t>
  </si>
  <si>
    <t xml:space="preserve">Collect gently</t>
  </si>
  <si>
    <t xml:space="preserve">MUC5</t>
  </si>
  <si>
    <t xml:space="preserve">Skin cream binder</t>
  </si>
  <si>
    <t xml:space="preserve">Cochineal-type Scale</t>
  </si>
  <si>
    <t xml:space="preserve">Scale insects on prickly pear</t>
  </si>
  <si>
    <t xml:space="preserve">Brush off pads</t>
  </si>
  <si>
    <t xml:space="preserve">PIG9 (crimson)</t>
  </si>
  <si>
    <t xml:space="preserve">Top-tier red dye</t>
  </si>
  <si>
    <t xml:space="preserve">Fish Glue</t>
  </si>
  <si>
    <t xml:space="preserve">River fish</t>
  </si>
  <si>
    <t xml:space="preserve">Boil skins</t>
  </si>
  <si>
    <t xml:space="preserve">Binder for pigments, label adhesive</t>
  </si>
  <si>
    <t xml:space="preserve">Byproduct of fishing</t>
  </si>
  <si>
    <t xml:space="preserve">Recipe</t>
  </si>
  <si>
    <t xml:space="preserve">Ingredient 1</t>
  </si>
  <si>
    <t xml:space="preserve">Ingredient 2</t>
  </si>
  <si>
    <t xml:space="preserve">Ingredient 3</t>
  </si>
  <si>
    <t xml:space="preserve">Protocol Notes (discovered)</t>
  </si>
  <si>
    <t xml:space="preserve">Effect / Order Use</t>
  </si>
  <si>
    <t xml:space="preserve">Discovery Tier</t>
  </si>
  <si>
    <t xml:space="preserve">Ingredient Cost (c)</t>
  </si>
  <si>
    <t xml:space="preserve">Suggested Price (c)</t>
  </si>
  <si>
    <t xml:space="preserve">Markup ×</t>
  </si>
  <si>
    <t xml:space="preserve">Bitter Spring Tonic</t>
  </si>
  <si>
    <t xml:space="preserve">Simmer 30 min, add honey syrup</t>
  </si>
  <si>
    <t xml:space="preserve">Digestion buff; NPC 'sluggish' orders</t>
  </si>
  <si>
    <t xml:space="preserve">Starter</t>
  </si>
  <si>
    <t xml:space="preserve">Sleepwell Tea</t>
  </si>
  <si>
    <t xml:space="preserve">Steep ≤7 min (TAN harshness after)</t>
  </si>
  <si>
    <t xml:space="preserve">Sleep regen bonus</t>
  </si>
  <si>
    <t xml:space="preserve">Fever Break</t>
  </si>
  <si>
    <t xml:space="preserve">Drink hot; bitterness lowers sale price unless masked</t>
  </si>
  <si>
    <t xml:space="preserve">Cures fever status</t>
  </si>
  <si>
    <t xml:space="preserve">Common</t>
  </si>
  <si>
    <t xml:space="preserve">Elderberry Syrup</t>
  </si>
  <si>
    <t xml:space="preserve">MUST cook elderberry first or batch causes nausea</t>
  </si>
  <si>
    <t xml:space="preserve">Illness resistance 3 days</t>
  </si>
  <si>
    <t xml:space="preserve">Uncommon</t>
  </si>
  <si>
    <t xml:space="preserve">Wound Salve</t>
  </si>
  <si>
    <t xml:space="preserve">Infuse dry herb in oil 4 hrs warm; 4:1 oil:beeswax</t>
  </si>
  <si>
    <t xml:space="preserve">Heals bleeding faster</t>
  </si>
  <si>
    <t xml:space="preserve">Rare</t>
  </si>
  <si>
    <t xml:space="preserve">Throat Coat</t>
  </si>
  <si>
    <t xml:space="preserve">Elm cold-steeped; cherry bark decocted separately, then combined</t>
  </si>
  <si>
    <t xml:space="preserve">Cough cure; premium order</t>
  </si>
  <si>
    <t xml:space="preserve">Legendary</t>
  </si>
  <si>
    <t xml:space="preserve">Calm Drops</t>
  </si>
  <si>
    <t xml:space="preserve">Hyssop needed to mask motherwort bitter</t>
  </si>
  <si>
    <t xml:space="preserve">Anxiety status removed</t>
  </si>
  <si>
    <t xml:space="preserve">Ward Tincture</t>
  </si>
  <si>
    <t xml:space="preserve">Test root quality by tongue-tingle first</t>
  </si>
  <si>
    <t xml:space="preserve">Strong infection cure</t>
  </si>
  <si>
    <t xml:space="preserve">Honey isn't a plant, so it prices at 0 here — add it to Species or an Animal price column to include it.</t>
  </si>
  <si>
    <t xml:space="preserve">Ironwood Liniment</t>
  </si>
  <si>
    <t xml:space="preserve">Topical only; ingestion = poisoning event</t>
  </si>
  <si>
    <t xml:space="preserve">Muscle soreness removed</t>
  </si>
  <si>
    <t xml:space="preserve">Network Censer</t>
  </si>
  <si>
    <t xml:space="preserve">Cedar stabilizes smoke; yarrow prevents disorientation</t>
  </si>
  <si>
    <t xml:space="preserve">See mycelial map 1 hr</t>
  </si>
  <si>
    <t xml:space="preserve">Hollowsong</t>
  </si>
  <si>
    <t xml:space="preserve">Sweetflag clarifies voice; hum in VR mic to locate roots</t>
  </si>
  <si>
    <t xml:space="preserve">Echolocate relics</t>
  </si>
  <si>
    <t xml:space="preserve">Tree-Tongue</t>
  </si>
  <si>
    <t xml:space="preserve">Fresh only (no drying)</t>
  </si>
  <si>
    <t xml:space="preserve">Rhizine dies on drying; brew within 2 in-game days</t>
  </si>
  <si>
    <t xml:space="preserve">Converse with one tree/creature</t>
  </si>
  <si>
    <t xml:space="preserve">Persimmon Cordial</t>
  </si>
  <si>
    <t xml:space="preserve">Unripe persimmon = chalky failure; wait for first frost</t>
  </si>
  <si>
    <t xml:space="preserve">High-value trade good</t>
  </si>
  <si>
    <t xml:space="preserve">Acorn Flour</t>
  </si>
  <si>
    <t xml:space="preserve">Change water until bitterness gone (taste test)</t>
  </si>
  <si>
    <t xml:space="preserve">Food / binder ingredient</t>
  </si>
  <si>
    <t xml:space="preserve">Walnut Ink</t>
  </si>
  <si>
    <t xml:space="preserve">Iron mordant → black ink</t>
  </si>
  <si>
    <t xml:space="preserve">Label ink; scribe orders</t>
  </si>
  <si>
    <t xml:space="preserve">Roster Balance (live)</t>
  </si>
  <si>
    <t xml:space="preserve">Count</t>
  </si>
  <si>
    <t xml:space="preserve">% of Roster</t>
  </si>
  <si>
    <t xml:space="preserve">Target %</t>
  </si>
  <si>
    <t xml:space="preserve">Avg Base Price (c)</t>
  </si>
  <si>
    <t xml:space="preserve">Total</t>
  </si>
  <si>
    <t xml:space="preserve">Toxic species (≥5)</t>
  </si>
  <si>
    <t xml:space="preserve">Lethal species (≥9)</t>
  </si>
  <si>
    <t xml:space="preserve">Peak harvest month (count)</t>
  </si>
  <si>
    <t xml:space="preserve">Leanest month (count)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</si>
</sst>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"/>
    <numFmt numFmtId="167" formatCode="0.0%"/>
    <numFmt numFmtId="168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F4A2B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name val="Arial"/>
      <family val="0"/>
      <charset val="1"/>
    </font>
  </fonts>
  <fills count="145">
    <fill>
      <patternFill patternType="none"/>
    </fill>
    <fill>
      <patternFill patternType="gray125"/>
    </fill>
    <fill>
      <patternFill patternType="solid">
        <fgColor rgb="FF2C472B"/>
        <bgColor rgb="FF4A3E32"/>
      </patternFill>
    </fill>
    <fill>
      <patternFill patternType="darkGray">
        <fgColor rgb="FF5C7B3B"/>
        <bgColor rgb="FF667A51"/>
      </patternFill>
    </fill>
    <fill>
      <patternFill patternType="solid">
        <fgColor rgb="FF9E9CD1"/>
        <bgColor rgb="FF9C9E89"/>
      </patternFill>
    </fill>
    <fill>
      <patternFill patternType="mediumGray">
        <fgColor rgb="FF8A7D6A"/>
        <bgColor rgb="FF827A56"/>
      </patternFill>
    </fill>
    <fill>
      <patternFill patternType="darkGray">
        <fgColor rgb="FF6D8D3E"/>
        <bgColor rgb="FF718A5A"/>
      </patternFill>
    </fill>
    <fill>
      <patternFill patternType="darkGray">
        <fgColor rgb="FFF3F1E8"/>
        <bgColor rgb="FFF5F2E7"/>
      </patternFill>
    </fill>
    <fill>
      <patternFill patternType="darkGray">
        <fgColor rgb="FF7E9F3D"/>
        <bgColor rgb="FF6E9C43"/>
      </patternFill>
    </fill>
    <fill>
      <patternFill patternType="solid">
        <fgColor rgb="FFE4C12F"/>
        <bgColor rgb="FFF1C427"/>
      </patternFill>
    </fill>
    <fill>
      <patternFill patternType="solid">
        <fgColor rgb="FF928A62"/>
        <bgColor rgb="FF8A7D6A"/>
      </patternFill>
    </fill>
    <fill>
      <patternFill patternType="solid">
        <fgColor rgb="FF5C7B3B"/>
        <bgColor rgb="FF667A51"/>
      </patternFill>
    </fill>
    <fill>
      <patternFill patternType="mediumGray">
        <fgColor rgb="FF9E9CD1"/>
        <bgColor rgb="FFD3A4D3"/>
      </patternFill>
    </fill>
    <fill>
      <patternFill patternType="darkGray">
        <fgColor rgb="FF6D8D3E"/>
        <bgColor rgb="FF598B38"/>
      </patternFill>
    </fill>
    <fill>
      <patternFill patternType="solid">
        <fgColor rgb="FFA2A06C"/>
        <bgColor rgb="FF9C9E89"/>
      </patternFill>
    </fill>
    <fill>
      <patternFill patternType="mediumGray">
        <fgColor rgb="FF827A56"/>
        <bgColor rgb="FF8A7D6A"/>
      </patternFill>
    </fill>
    <fill>
      <patternFill patternType="darkGray">
        <fgColor rgb="FFEBE2F0"/>
        <bgColor rgb="FFECD4E9"/>
      </patternFill>
    </fill>
    <fill>
      <patternFill patternType="solid">
        <fgColor rgb="FFD1A859"/>
        <bgColor rgb="FFC0AB82"/>
      </patternFill>
    </fill>
    <fill>
      <patternFill patternType="solid">
        <fgColor rgb="FF9C9E89"/>
        <bgColor rgb="FFA2A06C"/>
      </patternFill>
    </fill>
    <fill>
      <patternFill patternType="darkGray">
        <fgColor rgb="FFEFD240"/>
        <bgColor rgb="FFE6D365"/>
      </patternFill>
    </fill>
    <fill>
      <patternFill patternType="darkGray">
        <fgColor rgb="FF6B5C48"/>
        <bgColor rgb="FF6A4C32"/>
      </patternFill>
    </fill>
    <fill>
      <patternFill patternType="solid">
        <fgColor rgb="FF7F6A41"/>
        <bgColor rgb="FF827A56"/>
      </patternFill>
    </fill>
    <fill>
      <patternFill patternType="solid">
        <fgColor rgb="FF6A4C32"/>
        <bgColor rgb="FF6B5C48"/>
      </patternFill>
    </fill>
    <fill>
      <patternFill patternType="darkGray">
        <fgColor rgb="FF6E9C43"/>
        <bgColor rgb="FF7E9F3D"/>
      </patternFill>
    </fill>
    <fill>
      <patternFill patternType="solid">
        <fgColor rgb="FFC0AB82"/>
        <bgColor rgb="FFD1A859"/>
      </patternFill>
    </fill>
    <fill>
      <patternFill patternType="solid">
        <fgColor rgb="FFF6F5F0"/>
        <bgColor rgb="FFF5F2E7"/>
      </patternFill>
    </fill>
    <fill>
      <patternFill patternType="darkGray">
        <fgColor rgb="FF598B38"/>
        <bgColor rgb="FF6D8D3E"/>
      </patternFill>
    </fill>
    <fill>
      <patternFill patternType="solid">
        <fgColor rgb="FFF1C427"/>
        <bgColor rgb="FFE4C12F"/>
      </patternFill>
    </fill>
    <fill>
      <patternFill patternType="solid">
        <fgColor rgb="FF516B38"/>
        <bgColor rgb="FF5C7B3B"/>
      </patternFill>
    </fill>
    <fill>
      <patternFill patternType="darkGray">
        <fgColor rgb="FF487A35"/>
        <bgColor rgb="FF3F6C33"/>
      </patternFill>
    </fill>
    <fill>
      <patternFill patternType="solid">
        <fgColor rgb="FF7A54C8"/>
        <bgColor rgb="FF8F6DC4"/>
      </patternFill>
    </fill>
    <fill>
      <patternFill patternType="darkGray">
        <fgColor rgb="FF54563C"/>
        <bgColor rgb="FF516B38"/>
      </patternFill>
    </fill>
    <fill>
      <patternFill patternType="solid">
        <fgColor rgb="FF6E9C43"/>
        <bgColor rgb="FF7E9F3D"/>
      </patternFill>
    </fill>
    <fill>
      <patternFill patternType="solid">
        <fgColor rgb="FFFFFFFF"/>
        <bgColor rgb="FFF6F5F0"/>
      </patternFill>
    </fill>
    <fill>
      <patternFill patternType="darkGray">
        <fgColor rgb="FFC2609F"/>
        <bgColor rgb="FF8F6DC4"/>
      </patternFill>
    </fill>
    <fill>
      <patternFill patternType="solid">
        <fgColor rgb="FF667A51"/>
        <bgColor rgb="FF5C7B3B"/>
      </patternFill>
    </fill>
    <fill>
      <patternFill patternType="darkGray">
        <fgColor rgb="FF7A6463"/>
        <bgColor rgb="FF6B5C48"/>
      </patternFill>
    </fill>
    <fill>
      <patternFill patternType="darkGray">
        <fgColor rgb="FFC2609F"/>
        <bgColor rgb="FF8F6DC4"/>
      </patternFill>
    </fill>
    <fill>
      <patternFill patternType="darkGray">
        <fgColor rgb="FF6B5C48"/>
        <bgColor rgb="FF7A6463"/>
      </patternFill>
    </fill>
    <fill>
      <patternFill patternType="mediumGray">
        <fgColor rgb="FF487A35"/>
        <bgColor rgb="FF5C7B3B"/>
      </patternFill>
    </fill>
    <fill>
      <patternFill patternType="mediumGray">
        <fgColor rgb="FF7A54C8"/>
        <bgColor rgb="FF8F6DC4"/>
      </patternFill>
    </fill>
    <fill>
      <patternFill patternType="darkGray">
        <fgColor rgb="FF516B38"/>
        <bgColor rgb="FF3F6C33"/>
      </patternFill>
    </fill>
    <fill>
      <patternFill patternType="darkGray">
        <fgColor rgb="FF598B38"/>
        <bgColor rgb="FF487A35"/>
      </patternFill>
    </fill>
    <fill>
      <patternFill patternType="solid">
        <fgColor rgb="FFF2EFE5"/>
        <bgColor rgb="FFF3F1E8"/>
      </patternFill>
    </fill>
    <fill>
      <patternFill patternType="darkGray">
        <fgColor rgb="FFECD4E9"/>
        <bgColor rgb="FFEBE2F0"/>
      </patternFill>
    </fill>
    <fill>
      <patternFill patternType="solid">
        <fgColor rgb="FFEFD240"/>
        <bgColor rgb="FFF1C427"/>
      </patternFill>
    </fill>
    <fill>
      <patternFill patternType="solid">
        <fgColor rgb="FFCCCD6C"/>
        <bgColor rgb="FFE6D365"/>
      </patternFill>
    </fill>
    <fill>
      <patternFill patternType="solid">
        <fgColor rgb="FF7E9F3D"/>
        <bgColor rgb="FF6E9C43"/>
      </patternFill>
    </fill>
    <fill>
      <patternFill patternType="darkGray">
        <fgColor rgb="FF827A56"/>
        <bgColor rgb="FF667A51"/>
      </patternFill>
    </fill>
    <fill>
      <patternFill patternType="darkGray">
        <fgColor rgb="FF487A35"/>
        <bgColor rgb="FF5C7B3B"/>
      </patternFill>
    </fill>
    <fill>
      <patternFill patternType="solid">
        <fgColor rgb="FF487A35"/>
        <bgColor rgb="FF5C7B3B"/>
      </patternFill>
    </fill>
    <fill>
      <patternFill patternType="darkGray">
        <fgColor rgb="FFA2A06C"/>
        <bgColor rgb="FF9C9E89"/>
      </patternFill>
    </fill>
    <fill>
      <patternFill patternType="solid">
        <fgColor rgb="FF8A9C79"/>
        <bgColor rgb="FF9C9E89"/>
      </patternFill>
    </fill>
    <fill>
      <patternFill patternType="mediumGray">
        <fgColor rgb="FF9C9E89"/>
        <bgColor rgb="FFA2A06C"/>
      </patternFill>
    </fill>
    <fill>
      <patternFill patternType="mediumGray">
        <fgColor rgb="FF718A5A"/>
        <bgColor rgb="FF6D8D3E"/>
      </patternFill>
    </fill>
    <fill>
      <patternFill patternType="darkGray">
        <fgColor rgb="FFC2609F"/>
        <bgColor rgb="FFA8633B"/>
      </patternFill>
    </fill>
    <fill>
      <patternFill patternType="darkGray">
        <fgColor rgb="FF6A4C32"/>
        <bgColor rgb="FF6B5C48"/>
      </patternFill>
    </fill>
    <fill>
      <patternFill patternType="darkGray">
        <fgColor rgb="FFE7E3C6"/>
        <bgColor rgb="FFEBE2F0"/>
      </patternFill>
    </fill>
    <fill>
      <patternFill patternType="solid">
        <fgColor rgb="FFD3A4B4"/>
        <bgColor rgb="FFD3A4D3"/>
      </patternFill>
    </fill>
    <fill>
      <patternFill patternType="mediumGray">
        <fgColor rgb="FF516B38"/>
        <bgColor rgb="FF3F6C33"/>
      </patternFill>
    </fill>
    <fill>
      <patternFill patternType="solid">
        <fgColor rgb="FFF2F0F4"/>
        <bgColor rgb="FFF3F1E8"/>
      </patternFill>
    </fill>
    <fill>
      <patternFill patternType="solid">
        <fgColor rgb="FF6B5C48"/>
        <bgColor rgb="FF6A4C32"/>
      </patternFill>
    </fill>
    <fill>
      <patternFill patternType="solid">
        <fgColor rgb="FF3F6C33"/>
        <bgColor rgb="FF516B38"/>
      </patternFill>
    </fill>
    <fill>
      <patternFill patternType="darkGray">
        <fgColor rgb="FF8A9C79"/>
        <bgColor rgb="FF928A62"/>
      </patternFill>
    </fill>
    <fill>
      <patternFill patternType="mediumGray">
        <fgColor rgb="FF7F6A41"/>
        <bgColor rgb="FF7A6463"/>
      </patternFill>
    </fill>
    <fill>
      <patternFill patternType="darkGray">
        <fgColor rgb="FFEBE2F0"/>
        <bgColor rgb="FFEEECE2"/>
      </patternFill>
    </fill>
    <fill>
      <patternFill patternType="darkGray">
        <fgColor rgb="FF8A7D6A"/>
        <bgColor rgb="FF928A62"/>
      </patternFill>
    </fill>
    <fill>
      <patternFill patternType="darkGray">
        <fgColor rgb="FF516B38"/>
        <bgColor rgb="FF487A35"/>
      </patternFill>
    </fill>
    <fill>
      <patternFill patternType="darkGray">
        <fgColor rgb="FFD3A4D3"/>
        <bgColor rgb="FFD3A4B4"/>
      </patternFill>
    </fill>
    <fill>
      <patternFill patternType="darkGray">
        <fgColor rgb="FF3F6C33"/>
        <bgColor rgb="FF487A35"/>
      </patternFill>
    </fill>
    <fill>
      <patternFill patternType="darkGray">
        <fgColor rgb="FF9E9CD1"/>
        <bgColor rgb="FFD3A4D3"/>
      </patternFill>
    </fill>
    <fill>
      <patternFill patternType="darkGray">
        <fgColor rgb="FFEEECE2"/>
        <bgColor rgb="FFF2EFE5"/>
      </patternFill>
    </fill>
    <fill>
      <patternFill patternType="solid">
        <fgColor rgb="FF827A56"/>
        <bgColor rgb="FF8A7D6A"/>
      </patternFill>
    </fill>
    <fill>
      <patternFill patternType="solid">
        <fgColor rgb="FF8F6DC4"/>
        <bgColor rgb="FF7A54C8"/>
      </patternFill>
    </fill>
    <fill>
      <patternFill patternType="darkGray">
        <fgColor rgb="FF54563C"/>
        <bgColor rgb="FF6A4C32"/>
      </patternFill>
    </fill>
    <fill>
      <patternFill patternType="solid">
        <fgColor rgb="FF598B38"/>
        <bgColor rgb="FF6D8D3E"/>
      </patternFill>
    </fill>
    <fill>
      <patternFill patternType="darkGray">
        <fgColor rgb="FF6B5C48"/>
        <bgColor rgb="FF7F6A41"/>
      </patternFill>
    </fill>
    <fill>
      <patternFill patternType="darkGray">
        <fgColor rgb="FF8A9C79"/>
        <bgColor rgb="FF9C9E89"/>
      </patternFill>
    </fill>
    <fill>
      <patternFill patternType="darkGray">
        <fgColor rgb="FF8F6DC4"/>
        <bgColor rgb="FF9E9CD1"/>
      </patternFill>
    </fill>
    <fill>
      <patternFill patternType="darkGray">
        <fgColor rgb="FF718A5A"/>
        <bgColor rgb="FF8A7D6A"/>
      </patternFill>
    </fill>
    <fill>
      <patternFill patternType="solid">
        <fgColor rgb="FFF5F2E7"/>
        <bgColor rgb="FFF3F1E8"/>
      </patternFill>
    </fill>
    <fill>
      <patternFill patternType="darkGray">
        <fgColor rgb="FF667A51"/>
        <bgColor rgb="FF5C7B3B"/>
      </patternFill>
    </fill>
    <fill>
      <patternFill patternType="darkGray">
        <fgColor rgb="FFE4C12F"/>
        <bgColor rgb="FFF1C427"/>
      </patternFill>
    </fill>
    <fill>
      <patternFill patternType="solid">
        <fgColor rgb="FFEFA022"/>
        <bgColor rgb="FFEA8A2A"/>
      </patternFill>
    </fill>
    <fill>
      <patternFill patternType="solid">
        <fgColor rgb="FF7F6A41"/>
        <bgColor rgb="FF7A6463"/>
      </patternFill>
    </fill>
    <fill>
      <patternFill patternType="darkGray">
        <fgColor rgb="FFF6F5F0"/>
        <bgColor rgb="FFF5F2E7"/>
      </patternFill>
    </fill>
    <fill>
      <patternFill patternType="darkGray">
        <fgColor rgb="FFCCCD6C"/>
        <bgColor rgb="FFCFD89F"/>
      </patternFill>
    </fill>
    <fill>
      <patternFill patternType="darkGray">
        <fgColor rgb="FF827A56"/>
        <bgColor rgb="FF8A7D6A"/>
      </patternFill>
    </fill>
    <fill>
      <patternFill patternType="mediumGray">
        <fgColor rgb="FFC0AB82"/>
        <bgColor rgb="FF9C9E89"/>
      </patternFill>
    </fill>
    <fill>
      <patternFill patternType="darkGray">
        <fgColor rgb="FFCCCD6C"/>
        <bgColor rgb="FFE6D365"/>
      </patternFill>
    </fill>
    <fill>
      <patternFill patternType="solid">
        <fgColor rgb="FF9C9E89"/>
        <bgColor rgb="FF8A9C79"/>
      </patternFill>
    </fill>
    <fill>
      <patternFill patternType="solid">
        <fgColor rgb="FF516B38"/>
        <bgColor rgb="FF3F6C33"/>
      </patternFill>
    </fill>
    <fill>
      <patternFill patternType="darkGray">
        <fgColor rgb="FFC0AB82"/>
        <bgColor rgb="FFA2A06C"/>
      </patternFill>
    </fill>
    <fill>
      <patternFill patternType="solid">
        <fgColor rgb="FF718A5A"/>
        <bgColor rgb="FF667A51"/>
      </patternFill>
    </fill>
    <fill>
      <patternFill patternType="darkGray">
        <fgColor rgb="FFD1A859"/>
        <bgColor rgb="FFC0AB82"/>
      </patternFill>
    </fill>
    <fill>
      <patternFill patternType="solid">
        <fgColor rgb="FFA8633B"/>
        <bgColor rgb="FF7F6A41"/>
      </patternFill>
    </fill>
    <fill>
      <patternFill patternType="solid">
        <fgColor rgb="FF7A6463"/>
        <bgColor rgb="FF7F6A41"/>
      </patternFill>
    </fill>
    <fill>
      <patternFill patternType="darkGray">
        <fgColor rgb="FFA8633B"/>
        <bgColor rgb="FF7F6A41"/>
      </patternFill>
    </fill>
    <fill>
      <patternFill patternType="mediumGray">
        <fgColor rgb="FFC0AB82"/>
        <bgColor rgb="FFA2A06C"/>
      </patternFill>
    </fill>
    <fill>
      <patternFill patternType="mediumGray">
        <fgColor rgb="FFC0AB82"/>
        <bgColor rgb="FFD1A859"/>
      </patternFill>
    </fill>
    <fill>
      <patternFill patternType="solid">
        <fgColor rgb="FF718A5A"/>
        <bgColor rgb="FF6D8D3E"/>
      </patternFill>
    </fill>
    <fill>
      <patternFill patternType="darkGray">
        <fgColor rgb="FFEA8A2A"/>
        <bgColor rgb="FFD1A859"/>
      </patternFill>
    </fill>
    <fill>
      <patternFill patternType="darkGray">
        <fgColor rgb="FF928A62"/>
        <bgColor rgb="FF8A7D6A"/>
      </patternFill>
    </fill>
    <fill>
      <patternFill patternType="solid">
        <fgColor rgb="FF5C7B3B"/>
        <bgColor rgb="FF487A35"/>
      </patternFill>
    </fill>
    <fill>
      <patternFill patternType="mediumGray">
        <fgColor rgb="FF7A6463"/>
        <bgColor rgb="FF7F6A41"/>
      </patternFill>
    </fill>
    <fill>
      <patternFill patternType="darkGray">
        <fgColor rgb="FF4A3E32"/>
        <bgColor rgb="FF352F29"/>
      </patternFill>
    </fill>
    <fill>
      <patternFill patternType="solid">
        <fgColor rgb="FFD3A4D3"/>
        <bgColor rgb="FFD3A4B4"/>
      </patternFill>
    </fill>
    <fill>
      <patternFill patternType="mediumGray">
        <fgColor rgb="FF6A4C32"/>
        <bgColor rgb="FF54563C"/>
      </patternFill>
    </fill>
    <fill>
      <patternFill patternType="darkGray">
        <fgColor rgb="FFF2F0F4"/>
        <bgColor rgb="FFF3F1E8"/>
      </patternFill>
    </fill>
    <fill>
      <patternFill patternType="darkGray">
        <fgColor rgb="FFF3F1E8"/>
        <bgColor rgb="FFF2EFE5"/>
      </patternFill>
    </fill>
    <fill>
      <patternFill patternType="darkGray">
        <fgColor rgb="FFD3A4B4"/>
        <bgColor rgb="FFE8A0AC"/>
      </patternFill>
    </fill>
    <fill>
      <patternFill patternType="darkGray">
        <fgColor rgb="FF8F6DC4"/>
        <bgColor rgb="FF7A54C8"/>
      </patternFill>
    </fill>
    <fill>
      <patternFill patternType="solid">
        <fgColor rgb="FFE6D365"/>
        <bgColor rgb="FFEFD240"/>
      </patternFill>
    </fill>
    <fill>
      <patternFill patternType="solid">
        <fgColor rgb="FFEA8A2A"/>
        <bgColor rgb="FFEFA022"/>
      </patternFill>
    </fill>
    <fill>
      <patternFill patternType="solid">
        <fgColor rgb="FFC2609F"/>
        <bgColor rgb="FF8F6DC4"/>
      </patternFill>
    </fill>
    <fill>
      <patternFill patternType="solid">
        <fgColor rgb="FF352F29"/>
        <bgColor rgb="FF4A3E32"/>
      </patternFill>
    </fill>
    <fill>
      <patternFill patternType="mediumGray">
        <fgColor rgb="FF9C9E89"/>
        <bgColor rgb="FF8A9C79"/>
      </patternFill>
    </fill>
    <fill>
      <patternFill patternType="solid">
        <fgColor rgb="FFEEECE2"/>
        <bgColor rgb="FFF2EFE5"/>
      </patternFill>
    </fill>
    <fill>
      <patternFill patternType="darkGray">
        <fgColor rgb="FFF1C427"/>
        <bgColor rgb="FFE4C12F"/>
      </patternFill>
    </fill>
    <fill>
      <patternFill patternType="darkGray">
        <fgColor rgb="FFE6D365"/>
        <bgColor rgb="FFCCCD6C"/>
      </patternFill>
    </fill>
    <fill>
      <patternFill patternType="darkGray">
        <fgColor rgb="FF54563C"/>
        <bgColor rgb="FF6B5C48"/>
      </patternFill>
    </fill>
    <fill>
      <patternFill patternType="solid">
        <fgColor rgb="FFE7E3C6"/>
        <bgColor rgb="FFEEECE2"/>
      </patternFill>
    </fill>
    <fill>
      <patternFill patternType="mediumGray">
        <fgColor rgb="FF4A3E32"/>
        <bgColor rgb="FF352F29"/>
      </patternFill>
    </fill>
    <fill>
      <patternFill patternType="darkGray">
        <fgColor rgb="FF9E9CD1"/>
        <bgColor rgb="FF9C9E89"/>
      </patternFill>
    </fill>
    <fill>
      <patternFill patternType="darkGray">
        <fgColor rgb="FF7F312B"/>
        <bgColor rgb="FF4A3E32"/>
      </patternFill>
    </fill>
    <fill>
      <patternFill patternType="darkGray">
        <fgColor rgb="FFCFD89F"/>
        <bgColor rgb="FFF2D59D"/>
      </patternFill>
    </fill>
    <fill>
      <patternFill patternType="solid">
        <fgColor rgb="FF7F312B"/>
        <bgColor rgb="FF6A4C32"/>
      </patternFill>
    </fill>
    <fill>
      <patternFill patternType="darkGray">
        <fgColor rgb="FF2C472B"/>
        <bgColor rgb="FF352F29"/>
      </patternFill>
    </fill>
    <fill>
      <patternFill patternType="solid">
        <fgColor rgb="FF2C472B"/>
        <bgColor rgb="FF4A3E32"/>
      </patternFill>
    </fill>
    <fill>
      <patternFill patternType="solid">
        <fgColor rgb="FFE8A0AC"/>
        <bgColor rgb="FFD3A4B4"/>
      </patternFill>
    </fill>
    <fill>
      <patternFill patternType="mediumGray">
        <fgColor rgb="FFE7E3C6"/>
        <bgColor rgb="FFCFD89F"/>
      </patternFill>
    </fill>
    <fill>
      <patternFill patternType="darkGray">
        <fgColor rgb="FFCFD89F"/>
        <bgColor rgb="FFCCCD6C"/>
      </patternFill>
    </fill>
    <fill>
      <patternFill patternType="solid">
        <fgColor rgb="FF6A4C32"/>
        <bgColor rgb="FF54563C"/>
      </patternFill>
    </fill>
    <fill>
      <patternFill patternType="darkGray">
        <fgColor rgb="FF352F29"/>
        <bgColor rgb="FF4A3E32"/>
      </patternFill>
    </fill>
    <fill>
      <patternFill patternType="solid">
        <fgColor rgb="FF4A3E32"/>
        <bgColor rgb="FF54563C"/>
      </patternFill>
    </fill>
    <fill>
      <patternFill patternType="mediumGray">
        <fgColor rgb="FFA2A06C"/>
        <bgColor rgb="FFC0AB82"/>
      </patternFill>
    </fill>
    <fill>
      <patternFill patternType="darkGray">
        <fgColor rgb="FFCCCD6C"/>
        <bgColor rgb="FFC0AB82"/>
      </patternFill>
    </fill>
    <fill>
      <patternFill patternType="darkGray">
        <fgColor rgb="FFCCCD6C"/>
        <bgColor rgb="FFD1A859"/>
      </patternFill>
    </fill>
    <fill>
      <patternFill patternType="darkGray">
        <fgColor rgb="FF4A3E32"/>
        <bgColor rgb="FF54563C"/>
      </patternFill>
    </fill>
    <fill>
      <patternFill patternType="mediumGray">
        <fgColor rgb="FF7A6463"/>
        <bgColor rgb="FF6B5C48"/>
      </patternFill>
    </fill>
    <fill>
      <patternFill patternType="solid">
        <fgColor rgb="FF6E9C43"/>
        <bgColor rgb="FF6D8D3E"/>
      </patternFill>
    </fill>
    <fill>
      <patternFill patternType="mediumGray">
        <fgColor rgb="FFE4C12F"/>
        <bgColor rgb="FFF1C427"/>
      </patternFill>
    </fill>
    <fill>
      <patternFill patternType="solid">
        <fgColor rgb="FF8A7D6A"/>
        <bgColor rgb="FF827A56"/>
      </patternFill>
    </fill>
    <fill>
      <patternFill patternType="darkGray">
        <fgColor rgb="FFC0AB82"/>
        <bgColor rgb="FF9C9E89"/>
      </patternFill>
    </fill>
    <fill>
      <patternFill patternType="darkGray">
        <fgColor rgb="FFC0AB82"/>
        <bgColor rgb="FFD1A85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8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8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8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8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8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8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8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8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8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8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9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9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9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9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9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9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9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9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9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9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0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0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0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0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0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0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0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0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0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0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2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2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2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2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3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3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3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3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3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3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3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3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3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3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4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4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4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4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4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7">
    <dxf>
      <fill>
        <patternFill patternType="solid">
          <fgColor rgb="FF2F4A2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D4C4EC"/>
          <bgColor rgb="FF000000"/>
        </patternFill>
      </fill>
    </dxf>
    <dxf>
      <fill>
        <patternFill patternType="solid">
          <fgColor rgb="FFE8A0A0"/>
          <bgColor rgb="FF000000"/>
        </patternFill>
      </fill>
    </dxf>
    <dxf>
      <fill>
        <patternFill patternType="solid">
          <fgColor rgb="FFF5D6A0"/>
          <bgColor rgb="FF000000"/>
        </patternFill>
      </fill>
    </dxf>
    <dxf>
      <fill>
        <patternFill>
          <bgColor rgb="FFE8A0A0"/>
        </patternFill>
      </fill>
    </dxf>
    <dxf>
      <fill>
        <patternFill>
          <bgColor rgb="FFF5D6A0"/>
        </patternFill>
      </fill>
    </dxf>
    <dxf>
      <fill>
        <patternFill>
          <bgColor rgb="FFD4C4EC"/>
        </patternFill>
      </fill>
    </dxf>
    <dxf>
      <fill>
        <patternFill patternType="solid">
          <fgColor rgb="FF27402A"/>
          <bgColor rgb="FF000000"/>
        </patternFill>
      </fill>
    </dxf>
    <dxf>
      <fill>
        <patternFill patternType="solid">
          <fgColor rgb="FF3F6A30"/>
          <bgColor rgb="FF000000"/>
        </patternFill>
      </fill>
    </dxf>
    <dxf>
      <fill>
        <patternFill patternType="solid">
          <fgColor rgb="FF3F6A35"/>
          <bgColor rgb="FF000000"/>
        </patternFill>
      </fill>
    </dxf>
    <dxf>
      <fill>
        <patternFill patternType="solid">
          <fgColor rgb="FF3F7035"/>
          <bgColor rgb="FF000000"/>
        </patternFill>
      </fill>
    </dxf>
    <dxf>
      <fill>
        <patternFill patternType="solid">
          <fgColor rgb="FF3F7A30"/>
          <bgColor rgb="FF000000"/>
        </patternFill>
      </fill>
    </dxf>
    <dxf>
      <fill>
        <patternFill patternType="solid">
          <fgColor rgb="FF3F7A3A"/>
          <bgColor rgb="FF000000"/>
        </patternFill>
      </fill>
    </dxf>
    <dxf>
      <fill>
        <patternFill patternType="solid">
          <fgColor rgb="FF4A7035"/>
          <bgColor rgb="FF000000"/>
        </patternFill>
      </fill>
    </dxf>
    <dxf>
      <fill>
        <patternFill patternType="solid">
          <fgColor rgb="FF4A7A35"/>
          <bgColor rgb="FF000000"/>
        </patternFill>
      </fill>
    </dxf>
    <dxf>
      <fill>
        <patternFill patternType="solid">
          <fgColor rgb="FF4E7A35"/>
          <bgColor rgb="FF000000"/>
        </patternFill>
      </fill>
    </dxf>
    <dxf>
      <fill>
        <patternFill patternType="solid">
          <fgColor rgb="FF4F6A35"/>
          <bgColor rgb="FF000000"/>
        </patternFill>
      </fill>
    </dxf>
    <dxf>
      <fill>
        <patternFill patternType="solid">
          <fgColor rgb="FF4F6A40"/>
          <bgColor rgb="FF000000"/>
        </patternFill>
      </fill>
    </dxf>
    <dxf>
      <fill>
        <patternFill patternType="solid">
          <fgColor rgb="FF4F7035"/>
          <bgColor rgb="FF000000"/>
        </patternFill>
      </fill>
    </dxf>
    <dxf>
      <fill>
        <patternFill patternType="solid">
          <fgColor rgb="FF4F7A35"/>
          <bgColor rgb="FF000000"/>
        </patternFill>
      </fill>
    </dxf>
    <dxf>
      <fill>
        <patternFill patternType="solid">
          <fgColor rgb="FF4F7A3A"/>
          <bgColor rgb="FF000000"/>
        </patternFill>
      </fill>
    </dxf>
    <dxf>
      <fill>
        <patternFill patternType="solid">
          <fgColor rgb="FF4F7A3C"/>
          <bgColor rgb="FF000000"/>
        </patternFill>
      </fill>
    </dxf>
    <dxf>
      <fill>
        <patternFill patternType="solid">
          <fgColor rgb="FF4F8A3A"/>
          <bgColor rgb="FF000000"/>
        </patternFill>
      </fill>
    </dxf>
    <dxf>
      <fill>
        <patternFill patternType="solid">
          <fgColor rgb="FF5A7A3A"/>
          <bgColor rgb="FF000000"/>
        </patternFill>
      </fill>
    </dxf>
    <dxf>
      <fill>
        <patternFill patternType="solid">
          <fgColor rgb="FF5A7A4A"/>
          <bgColor rgb="FF000000"/>
        </patternFill>
      </fill>
    </dxf>
    <dxf>
      <fill>
        <patternFill patternType="solid">
          <fgColor rgb="FF5A7A5A"/>
          <bgColor rgb="FF000000"/>
        </patternFill>
      </fill>
    </dxf>
    <dxf>
      <fill>
        <patternFill patternType="solid">
          <fgColor rgb="FF5A7A6A"/>
          <bgColor rgb="FF000000"/>
        </patternFill>
      </fill>
    </dxf>
    <dxf>
      <fill>
        <patternFill patternType="solid">
          <fgColor rgb="FF5A8A3A"/>
          <bgColor rgb="FF000000"/>
        </patternFill>
      </fill>
    </dxf>
    <dxf>
      <fill>
        <patternFill patternType="solid">
          <fgColor rgb="FF5C8A35"/>
          <bgColor rgb="FF000000"/>
        </patternFill>
      </fill>
    </dxf>
    <dxf>
      <fill>
        <patternFill patternType="solid">
          <fgColor rgb="FF5D7A3E"/>
          <bgColor rgb="FF000000"/>
        </patternFill>
      </fill>
    </dxf>
    <dxf>
      <fill>
        <patternFill patternType="solid">
          <fgColor rgb="FF5F7A3A"/>
          <bgColor rgb="FF000000"/>
        </patternFill>
      </fill>
    </dxf>
    <dxf>
      <fill>
        <patternFill patternType="solid">
          <fgColor rgb="FF5F7D36"/>
          <bgColor rgb="FF000000"/>
        </patternFill>
      </fill>
    </dxf>
    <dxf>
      <fill>
        <patternFill patternType="solid">
          <fgColor rgb="FF5F8F3A"/>
          <bgColor rgb="FF000000"/>
        </patternFill>
      </fill>
    </dxf>
    <dxf>
      <fill>
        <patternFill patternType="solid">
          <fgColor rgb="FF6A8A3A"/>
          <bgColor rgb="FF000000"/>
        </patternFill>
      </fill>
    </dxf>
    <dxf>
      <fill>
        <patternFill patternType="solid">
          <fgColor rgb="FF6A8A42"/>
          <bgColor rgb="FF000000"/>
        </patternFill>
      </fill>
    </dxf>
    <dxf>
      <fill>
        <patternFill patternType="solid">
          <fgColor rgb="FF6A8A5A"/>
          <bgColor rgb="FF000000"/>
        </patternFill>
      </fill>
    </dxf>
    <dxf>
      <fill>
        <patternFill patternType="solid">
          <fgColor rgb="FF6A8A7A"/>
          <bgColor rgb="FF000000"/>
        </patternFill>
      </fill>
    </dxf>
    <dxf>
      <fill>
        <patternFill patternType="solid">
          <fgColor rgb="FF6A9A4A"/>
          <bgColor rgb="FF000000"/>
        </patternFill>
      </fill>
    </dxf>
    <dxf>
      <fill>
        <patternFill patternType="solid">
          <fgColor rgb="FF6B8A3A"/>
          <bgColor rgb="FF000000"/>
        </patternFill>
      </fill>
    </dxf>
    <dxf>
      <fill>
        <patternFill patternType="solid">
          <fgColor rgb="FF6C8F45"/>
          <bgColor rgb="FF000000"/>
        </patternFill>
      </fill>
    </dxf>
    <dxf>
      <fill>
        <patternFill patternType="solid">
          <fgColor rgb="FF6F8F45"/>
          <bgColor rgb="FF000000"/>
        </patternFill>
      </fill>
    </dxf>
    <dxf>
      <fill>
        <patternFill patternType="solid">
          <fgColor rgb="FF6F9A3C"/>
          <bgColor rgb="FF000000"/>
        </patternFill>
      </fill>
    </dxf>
    <dxf>
      <fill>
        <patternFill patternType="solid">
          <fgColor rgb="FF6F9A46"/>
          <bgColor rgb="FF000000"/>
        </patternFill>
      </fill>
    </dxf>
    <dxf>
      <fill>
        <patternFill patternType="solid">
          <fgColor rgb="FF6FA046"/>
          <bgColor rgb="FF000000"/>
        </patternFill>
      </fill>
    </dxf>
    <dxf>
      <fill>
        <patternFill patternType="solid">
          <fgColor rgb="FF7A5A6A"/>
          <bgColor rgb="FF000000"/>
        </patternFill>
      </fill>
    </dxf>
    <dxf>
      <fill>
        <patternFill patternType="solid">
          <fgColor rgb="FF7A8A5A"/>
          <bgColor rgb="FF000000"/>
        </patternFill>
      </fill>
    </dxf>
    <dxf>
      <fill>
        <patternFill patternType="solid">
          <fgColor rgb="FF7A9A3A"/>
          <bgColor rgb="FF000000"/>
        </patternFill>
      </fill>
    </dxf>
    <dxf>
      <fill>
        <patternFill patternType="solid">
          <fgColor rgb="FF7A9A3C"/>
          <bgColor rgb="FF000000"/>
        </patternFill>
      </fill>
    </dxf>
    <dxf>
      <fill>
        <patternFill patternType="solid">
          <fgColor rgb="FF7AA046"/>
          <bgColor rgb="FF000000"/>
        </patternFill>
      </fill>
    </dxf>
    <dxf>
      <fill>
        <patternFill patternType="solid">
          <fgColor rgb="FF8A7A6A"/>
          <bgColor rgb="FF000000"/>
        </patternFill>
      </fill>
    </dxf>
    <dxf>
      <fill>
        <patternFill patternType="solid">
          <fgColor rgb="FF8A9A7A"/>
          <bgColor rgb="FF000000"/>
        </patternFill>
      </fill>
    </dxf>
    <dxf>
      <fill>
        <patternFill patternType="solid">
          <fgColor rgb="FF8A9A86"/>
          <bgColor rgb="FF000000"/>
        </patternFill>
      </fill>
    </dxf>
    <dxf>
      <fill>
        <patternFill patternType="solid">
          <fgColor rgb="FF8AA07A"/>
          <bgColor rgb="FF000000"/>
        </patternFill>
      </fill>
    </dxf>
    <dxf>
      <fill>
        <patternFill patternType="solid">
          <fgColor rgb="FF8AA0A0"/>
          <bgColor rgb="FF000000"/>
        </patternFill>
      </fill>
    </dxf>
    <dxf>
      <fill>
        <patternFill patternType="solid">
          <fgColor rgb="FF8AA63C"/>
          <bgColor rgb="FF000000"/>
        </patternFill>
      </fill>
    </dxf>
    <dxf>
      <fill>
        <patternFill patternType="solid">
          <fgColor rgb="FF9AA58A"/>
          <bgColor rgb="FF000000"/>
        </patternFill>
      </fill>
    </dxf>
    <dxf>
      <fill>
        <patternFill patternType="solid">
          <fgColor rgb="FFA8B0A0"/>
          <bgColor rgb="FF000000"/>
        </patternFill>
      </fill>
    </dxf>
    <dxf>
      <fill>
        <patternFill patternType="solid">
          <fgColor rgb="FFF0A030"/>
          <bgColor rgb="FF000000"/>
        </patternFill>
      </fill>
    </dxf>
    <dxf>
      <fill>
        <patternFill patternType="solid">
          <fgColor rgb="FFF2EFE6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A4FC9"/>
          <bgColor rgb="FF000000"/>
        </patternFill>
      </fill>
    </dxf>
    <dxf>
      <fill>
        <patternFill patternType="solid">
          <fgColor rgb="FF6A7A5A"/>
          <bgColor rgb="FF000000"/>
        </patternFill>
      </fill>
    </dxf>
    <dxf>
      <fill>
        <patternFill patternType="solid">
          <fgColor rgb="FF7A62C4"/>
          <bgColor rgb="FF000000"/>
        </patternFill>
      </fill>
    </dxf>
    <dxf>
      <fill>
        <patternFill patternType="solid">
          <fgColor rgb="FF7A8A4A"/>
          <bgColor rgb="FF000000"/>
        </patternFill>
      </fill>
    </dxf>
    <dxf>
      <fill>
        <patternFill patternType="solid">
          <fgColor rgb="FF7FA6E6"/>
          <bgColor rgb="FF000000"/>
        </patternFill>
      </fill>
    </dxf>
    <dxf>
      <fill>
        <patternFill patternType="solid">
          <fgColor rgb="FF8A4AC8"/>
          <bgColor rgb="FF000000"/>
        </patternFill>
      </fill>
    </dxf>
    <dxf>
      <fill>
        <patternFill patternType="solid">
          <fgColor rgb="FF8A5A7A"/>
          <bgColor rgb="FF000000"/>
        </patternFill>
      </fill>
    </dxf>
    <dxf>
      <fill>
        <patternFill patternType="solid">
          <fgColor rgb="FF8A62C0"/>
          <bgColor rgb="FF000000"/>
        </patternFill>
      </fill>
    </dxf>
    <dxf>
      <fill>
        <patternFill patternType="solid">
          <fgColor rgb="FF8A6A3A"/>
          <bgColor rgb="FF000000"/>
        </patternFill>
      </fill>
    </dxf>
    <dxf>
      <fill>
        <patternFill patternType="solid">
          <fgColor rgb="FF8A7AC8"/>
          <bgColor rgb="FF000000"/>
        </patternFill>
      </fill>
    </dxf>
    <dxf>
      <fill>
        <patternFill patternType="solid">
          <fgColor rgb="FF8A8A5A"/>
          <bgColor rgb="FF000000"/>
        </patternFill>
      </fill>
    </dxf>
    <dxf>
      <fill>
        <patternFill patternType="solid">
          <fgColor rgb="FF8A8A6A"/>
          <bgColor rgb="FF000000"/>
        </patternFill>
      </fill>
    </dxf>
    <dxf>
      <fill>
        <patternFill patternType="solid">
          <fgColor rgb="FF8A9A6A"/>
          <bgColor rgb="FF000000"/>
        </patternFill>
      </fill>
    </dxf>
    <dxf>
      <fill>
        <patternFill patternType="solid">
          <fgColor rgb="FF9A6AC0"/>
          <bgColor rgb="FF000000"/>
        </patternFill>
      </fill>
    </dxf>
    <dxf>
      <fill>
        <patternFill patternType="solid">
          <fgColor rgb="FF9A9A72"/>
          <bgColor rgb="FF000000"/>
        </patternFill>
      </fill>
    </dxf>
    <dxf>
      <fill>
        <patternFill patternType="solid">
          <fgColor rgb="FF9AA07A"/>
          <bgColor rgb="FF000000"/>
        </patternFill>
      </fill>
    </dxf>
    <dxf>
      <fill>
        <patternFill patternType="solid">
          <fgColor rgb="FFA09A6A"/>
          <bgColor rgb="FF000000"/>
        </patternFill>
      </fill>
    </dxf>
    <dxf>
      <fill>
        <patternFill patternType="solid">
          <fgColor rgb="FFA8A65A"/>
          <bgColor rgb="FF000000"/>
        </patternFill>
      </fill>
    </dxf>
    <dxf>
      <fill>
        <patternFill patternType="solid">
          <fgColor rgb="FFA8B070"/>
          <bgColor rgb="FF000000"/>
        </patternFill>
      </fill>
    </dxf>
    <dxf>
      <fill>
        <patternFill patternType="solid">
          <fgColor rgb="FFB04F8A"/>
          <bgColor rgb="FF000000"/>
        </patternFill>
      </fill>
    </dxf>
    <dxf>
      <fill>
        <patternFill patternType="solid">
          <fgColor rgb="FFB0503A"/>
          <bgColor rgb="FF000000"/>
        </patternFill>
      </fill>
    </dxf>
    <dxf>
      <fill>
        <patternFill patternType="solid">
          <fgColor rgb="FFB28AC8"/>
          <bgColor rgb="FF000000"/>
        </patternFill>
      </fill>
    </dxf>
    <dxf>
      <fill>
        <patternFill patternType="solid">
          <fgColor rgb="FFB35FA8"/>
          <bgColor rgb="FF000000"/>
        </patternFill>
      </fill>
    </dxf>
    <dxf>
      <fill>
        <patternFill patternType="solid">
          <fgColor rgb="FFB39AD6"/>
          <bgColor rgb="FF000000"/>
        </patternFill>
      </fill>
    </dxf>
    <dxf>
      <fill>
        <patternFill patternType="solid">
          <fgColor rgb="FFB8A070"/>
          <bgColor rgb="FF000000"/>
        </patternFill>
      </fill>
    </dxf>
    <dxf>
      <fill>
        <patternFill patternType="solid">
          <fgColor rgb="FFB8A890"/>
          <bgColor rgb="FF000000"/>
        </patternFill>
      </fill>
    </dxf>
    <dxf>
      <fill>
        <patternFill patternType="solid">
          <fgColor rgb="FFB8B07A"/>
          <bgColor rgb="FF000000"/>
        </patternFill>
      </fill>
    </dxf>
    <dxf>
      <fill>
        <patternFill patternType="solid">
          <fgColor rgb="FFC06BB6"/>
          <bgColor rgb="FF000000"/>
        </patternFill>
      </fill>
    </dxf>
    <dxf>
      <fill>
        <patternFill patternType="solid">
          <fgColor rgb="FFC7CF5A"/>
          <bgColor rgb="FF000000"/>
        </patternFill>
      </fill>
    </dxf>
    <dxf>
      <fill>
        <patternFill patternType="solid">
          <fgColor rgb="FFC85A8A"/>
          <bgColor rgb="FF000000"/>
        </patternFill>
      </fill>
    </dxf>
    <dxf>
      <fill>
        <patternFill patternType="solid">
          <fgColor rgb="FFC86AA8"/>
          <bgColor rgb="FF000000"/>
        </patternFill>
      </fill>
    </dxf>
    <dxf>
      <fill>
        <patternFill patternType="solid">
          <fgColor rgb="FFC8A0D8"/>
          <bgColor rgb="FF000000"/>
        </patternFill>
      </fill>
    </dxf>
    <dxf>
      <fill>
        <patternFill patternType="solid">
          <fgColor rgb="FFC8B07A"/>
          <bgColor rgb="FF000000"/>
        </patternFill>
      </fill>
    </dxf>
    <dxf>
      <fill>
        <patternFill patternType="solid">
          <fgColor rgb="FFC8B48A"/>
          <bgColor rgb="FF000000"/>
        </patternFill>
      </fill>
    </dxf>
    <dxf>
      <fill>
        <patternFill patternType="solid">
          <fgColor rgb="FFC8C060"/>
          <bgColor rgb="FF000000"/>
        </patternFill>
      </fill>
    </dxf>
    <dxf>
      <fill>
        <patternFill patternType="solid">
          <fgColor rgb="FFC8C070"/>
          <bgColor rgb="FF000000"/>
        </patternFill>
      </fill>
    </dxf>
    <dxf>
      <fill>
        <patternFill patternType="solid">
          <fgColor rgb="FFC8D0A0"/>
          <bgColor rgb="FF000000"/>
        </patternFill>
      </fill>
    </dxf>
    <dxf>
      <fill>
        <patternFill patternType="solid">
          <fgColor rgb="FFC8D27A"/>
          <bgColor rgb="FF000000"/>
        </patternFill>
      </fill>
    </dxf>
    <dxf>
      <fill>
        <patternFill patternType="solid">
          <fgColor rgb="FFC9A05A"/>
          <bgColor rgb="FF000000"/>
        </patternFill>
      </fill>
    </dxf>
    <dxf>
      <fill>
        <patternFill patternType="solid">
          <fgColor rgb="FFD2D07A"/>
          <bgColor rgb="FF000000"/>
        </patternFill>
      </fill>
    </dxf>
    <dxf>
      <fill>
        <patternFill patternType="solid">
          <fgColor rgb="FFD8A0B8"/>
          <bgColor rgb="FF000000"/>
        </patternFill>
      </fill>
    </dxf>
    <dxf>
      <fill>
        <patternFill patternType="solid">
          <fgColor rgb="FFD8A868"/>
          <bgColor rgb="FF000000"/>
        </patternFill>
      </fill>
    </dxf>
    <dxf>
      <fill>
        <patternFill patternType="solid">
          <fgColor rgb="FFD8A8C8"/>
          <bgColor rgb="FF000000"/>
        </patternFill>
      </fill>
    </dxf>
    <dxf>
      <fill>
        <patternFill patternType="solid">
          <fgColor rgb="FFD8C23A"/>
          <bgColor rgb="FF000000"/>
        </patternFill>
      </fill>
    </dxf>
    <dxf>
      <fill>
        <patternFill patternType="solid">
          <fgColor rgb="FFD8D8A0"/>
          <bgColor rgb="FF000000"/>
        </patternFill>
      </fill>
    </dxf>
    <dxf>
      <fill>
        <patternFill patternType="solid">
          <fgColor rgb="FFD8DCA0"/>
          <bgColor rgb="FF000000"/>
        </patternFill>
      </fill>
    </dxf>
    <dxf>
      <fill>
        <patternFill patternType="solid">
          <fgColor rgb="FFE0D460"/>
          <bgColor rgb="FF000000"/>
        </patternFill>
      </fill>
    </dxf>
    <dxf>
      <fill>
        <patternFill patternType="solid">
          <fgColor rgb="FFE0E0B0"/>
          <bgColor rgb="FF000000"/>
        </patternFill>
      </fill>
    </dxf>
    <dxf>
      <fill>
        <patternFill patternType="solid">
          <fgColor rgb="FFE6DDF0"/>
          <bgColor rgb="FF000000"/>
        </patternFill>
      </fill>
    </dxf>
    <dxf>
      <fill>
        <patternFill patternType="solid">
          <fgColor rgb="FFE8A020"/>
          <bgColor rgb="FF000000"/>
        </patternFill>
      </fill>
    </dxf>
    <dxf>
      <fill>
        <patternFill patternType="solid">
          <fgColor rgb="FFE8A0B8"/>
          <bgColor rgb="FF000000"/>
        </patternFill>
      </fill>
    </dxf>
    <dxf>
      <fill>
        <patternFill patternType="solid">
          <fgColor rgb="FFE8C02A"/>
          <bgColor rgb="FF000000"/>
        </patternFill>
      </fill>
    </dxf>
    <dxf>
      <fill>
        <patternFill patternType="solid">
          <fgColor rgb="FFE8D040"/>
          <bgColor rgb="FF000000"/>
        </patternFill>
      </fill>
    </dxf>
    <dxf>
      <fill>
        <patternFill patternType="solid">
          <fgColor rgb="FFE8D06A"/>
          <bgColor rgb="FF000000"/>
        </patternFill>
      </fill>
    </dxf>
    <dxf>
      <fill>
        <patternFill patternType="solid">
          <fgColor rgb="FFE8D24A"/>
          <bgColor rgb="FF000000"/>
        </patternFill>
      </fill>
    </dxf>
    <dxf>
      <fill>
        <patternFill patternType="solid">
          <fgColor rgb="FFE8E0D0"/>
          <bgColor rgb="FF000000"/>
        </patternFill>
      </fill>
    </dxf>
    <dxf>
      <fill>
        <patternFill patternType="solid">
          <fgColor rgb="FFE8E4C0"/>
          <bgColor rgb="FF000000"/>
        </patternFill>
      </fill>
    </dxf>
    <dxf>
      <fill>
        <patternFill patternType="solid">
          <fgColor rgb="FFE8ECE2"/>
          <bgColor rgb="FF000000"/>
        </patternFill>
      </fill>
    </dxf>
    <dxf>
      <fill>
        <patternFill patternType="solid">
          <fgColor rgb="FFE9D6E6"/>
          <bgColor rgb="FF000000"/>
        </patternFill>
      </fill>
    </dxf>
    <dxf>
      <fill>
        <patternFill patternType="solid">
          <fgColor rgb="FFECE4F0"/>
          <bgColor rgb="FF000000"/>
        </patternFill>
      </fill>
    </dxf>
    <dxf>
      <fill>
        <patternFill patternType="solid">
          <fgColor rgb="FFF08A20"/>
          <bgColor rgb="FF000000"/>
        </patternFill>
      </fill>
    </dxf>
    <dxf>
      <fill>
        <patternFill patternType="solid">
          <fgColor rgb="FFF0A020"/>
          <bgColor rgb="FF000000"/>
        </patternFill>
      </fill>
    </dxf>
    <dxf>
      <fill>
        <patternFill patternType="solid">
          <fgColor rgb="FFF0C030"/>
          <bgColor rgb="FF000000"/>
        </patternFill>
      </fill>
    </dxf>
    <dxf>
      <fill>
        <patternFill patternType="solid">
          <fgColor rgb="FFF0C040"/>
          <bgColor rgb="FF000000"/>
        </patternFill>
      </fill>
    </dxf>
    <dxf>
      <fill>
        <patternFill patternType="solid">
          <fgColor rgb="FFF0D8E0"/>
          <bgColor rgb="FF000000"/>
        </patternFill>
      </fill>
    </dxf>
    <dxf>
      <fill>
        <patternFill patternType="solid">
          <fgColor rgb="FFF0ECE0"/>
          <bgColor rgb="FF000000"/>
        </patternFill>
      </fill>
    </dxf>
    <dxf>
      <fill>
        <patternFill patternType="solid">
          <fgColor rgb="FFF0EEF0"/>
          <bgColor rgb="FF000000"/>
        </patternFill>
      </fill>
    </dxf>
    <dxf>
      <fill>
        <patternFill patternType="solid">
          <fgColor rgb="FFF2C81E"/>
          <bgColor rgb="FF000000"/>
        </patternFill>
      </fill>
    </dxf>
    <dxf>
      <fill>
        <patternFill patternType="solid">
          <fgColor rgb="FFF2D23A"/>
          <bgColor rgb="FF000000"/>
        </patternFill>
      </fill>
    </dxf>
    <dxf>
      <fill>
        <patternFill patternType="solid">
          <fgColor rgb="FFF2EFE2"/>
          <bgColor rgb="FF000000"/>
        </patternFill>
      </fill>
    </dxf>
    <dxf>
      <fill>
        <patternFill patternType="solid">
          <fgColor rgb="FFF2F0E8"/>
          <bgColor rgb="FF000000"/>
        </patternFill>
      </fill>
    </dxf>
    <dxf>
      <fill>
        <patternFill patternType="solid">
          <fgColor rgb="FFF2F0F5"/>
          <bgColor rgb="FF000000"/>
        </patternFill>
      </fill>
    </dxf>
    <dxf>
      <fill>
        <patternFill patternType="solid">
          <fgColor rgb="FFF3F1E6"/>
          <bgColor rgb="FF000000"/>
        </patternFill>
      </fill>
    </dxf>
    <dxf>
      <fill>
        <patternFill patternType="solid">
          <fgColor rgb="FFF5F2E2"/>
          <bgColor rgb="FF000000"/>
        </patternFill>
      </fill>
    </dxf>
    <dxf>
      <fill>
        <patternFill patternType="solid">
          <fgColor rgb="FFF5F2E8"/>
          <bgColor rgb="FF000000"/>
        </patternFill>
      </fill>
    </dxf>
    <dxf>
      <fill>
        <patternFill patternType="solid">
          <fgColor rgb="FFF5F5EF"/>
          <bgColor rgb="FF000000"/>
        </patternFill>
      </fill>
    </dxf>
    <dxf>
      <fill>
        <patternFill patternType="solid">
          <fgColor rgb="FFF5F5F0"/>
          <bgColor rgb="FF000000"/>
        </patternFill>
      </fill>
    </dxf>
    <dxf>
      <fill>
        <patternFill patternType="solid">
          <fgColor rgb="FFF6F4EC"/>
          <bgColor rgb="FF000000"/>
        </patternFill>
      </fill>
    </dxf>
    <dxf>
      <fill>
        <patternFill patternType="solid">
          <fgColor rgb="FF2E2A26"/>
          <bgColor rgb="FF000000"/>
        </patternFill>
      </fill>
    </dxf>
    <dxf>
      <fill>
        <patternFill patternType="solid">
          <fgColor rgb="FF2E4630"/>
          <bgColor rgb="FF000000"/>
        </patternFill>
      </fill>
    </dxf>
    <dxf>
      <fill>
        <patternFill patternType="solid">
          <fgColor rgb="FF3A2E24"/>
          <bgColor rgb="FF000000"/>
        </patternFill>
      </fill>
    </dxf>
    <dxf>
      <fill>
        <patternFill patternType="solid">
          <fgColor rgb="FF3A3430"/>
          <bgColor rgb="FF000000"/>
        </patternFill>
      </fill>
    </dxf>
    <dxf>
      <fill>
        <patternFill patternType="solid">
          <fgColor rgb="FF3A3A34"/>
          <bgColor rgb="FF000000"/>
        </patternFill>
      </fill>
    </dxf>
    <dxf>
      <fill>
        <patternFill patternType="solid">
          <fgColor rgb="FF4A3A2A"/>
          <bgColor rgb="FF000000"/>
        </patternFill>
      </fill>
    </dxf>
    <dxf>
      <fill>
        <patternFill patternType="solid">
          <fgColor rgb="FF4A4038"/>
          <bgColor rgb="FF000000"/>
        </patternFill>
      </fill>
    </dxf>
    <dxf>
      <fill>
        <patternFill patternType="solid">
          <fgColor rgb="FF4A4440"/>
          <bgColor rgb="FF000000"/>
        </patternFill>
      </fill>
    </dxf>
    <dxf>
      <fill>
        <patternFill patternType="solid">
          <fgColor rgb="FF4A5A38"/>
          <bgColor rgb="FF000000"/>
        </patternFill>
      </fill>
    </dxf>
    <dxf>
      <fill>
        <patternFill patternType="solid">
          <fgColor rgb="FF4A5A3A"/>
          <bgColor rgb="FF000000"/>
        </patternFill>
      </fill>
    </dxf>
    <dxf>
      <fill>
        <patternFill patternType="solid">
          <fgColor rgb="FF4A6A3A"/>
          <bgColor rgb="FF000000"/>
        </patternFill>
      </fill>
    </dxf>
    <dxf>
      <fill>
        <patternFill patternType="solid">
          <fgColor rgb="FF5A4A38"/>
          <bgColor rgb="FF000000"/>
        </patternFill>
      </fill>
    </dxf>
    <dxf>
      <fill>
        <patternFill patternType="solid">
          <fgColor rgb="FF5A4A3A"/>
          <bgColor rgb="FF000000"/>
        </patternFill>
      </fill>
    </dxf>
    <dxf>
      <fill>
        <patternFill patternType="solid">
          <fgColor rgb="FF5A5040"/>
          <bgColor rgb="FF000000"/>
        </patternFill>
      </fill>
    </dxf>
    <dxf>
      <fill>
        <patternFill patternType="solid">
          <fgColor rgb="FF5A5048"/>
          <bgColor rgb="FF000000"/>
        </patternFill>
      </fill>
    </dxf>
    <dxf>
      <fill>
        <patternFill patternType="solid">
          <fgColor rgb="FF5A5A3A"/>
          <bgColor rgb="FF000000"/>
        </patternFill>
      </fill>
    </dxf>
    <dxf>
      <fill>
        <patternFill patternType="solid">
          <fgColor rgb="FF5A6A3A"/>
          <bgColor rgb="FF000000"/>
        </patternFill>
      </fill>
    </dxf>
    <dxf>
      <fill>
        <patternFill patternType="solid">
          <fgColor rgb="FF5A6A40"/>
          <bgColor rgb="FF000000"/>
        </patternFill>
      </fill>
    </dxf>
    <dxf>
      <fill>
        <patternFill patternType="solid">
          <fgColor rgb="FF5A7A40"/>
          <bgColor rgb="FF000000"/>
        </patternFill>
      </fill>
    </dxf>
    <dxf>
      <fill>
        <patternFill patternType="solid">
          <fgColor rgb="FF6A2A2A"/>
          <bgColor rgb="FF000000"/>
        </patternFill>
      </fill>
    </dxf>
    <dxf>
      <fill>
        <patternFill patternType="solid">
          <fgColor rgb="FF6A4A30"/>
          <bgColor rgb="FF000000"/>
        </patternFill>
      </fill>
    </dxf>
    <dxf>
      <fill>
        <patternFill patternType="solid">
          <fgColor rgb="FF6A4A38"/>
          <bgColor rgb="FF000000"/>
        </patternFill>
      </fill>
    </dxf>
    <dxf>
      <fill>
        <patternFill patternType="solid">
          <fgColor rgb="FF6A5030"/>
          <bgColor rgb="FF000000"/>
        </patternFill>
      </fill>
    </dxf>
    <dxf>
      <fill>
        <patternFill patternType="solid">
          <fgColor rgb="FF6A5038"/>
          <bgColor rgb="FF000000"/>
        </patternFill>
      </fill>
    </dxf>
    <dxf>
      <fill>
        <patternFill patternType="solid">
          <fgColor rgb="FF6A5A48"/>
          <bgColor rgb="FF000000"/>
        </patternFill>
      </fill>
    </dxf>
    <dxf>
      <fill>
        <patternFill patternType="solid">
          <fgColor rgb="FF6A5A5A"/>
          <bgColor rgb="FF000000"/>
        </patternFill>
      </fill>
    </dxf>
    <dxf>
      <fill>
        <patternFill patternType="solid">
          <fgColor rgb="FF6A6040"/>
          <bgColor rgb="FF000000"/>
        </patternFill>
      </fill>
    </dxf>
    <dxf>
      <fill>
        <patternFill patternType="solid">
          <fgColor rgb="FF6A6A5A"/>
          <bgColor rgb="FF000000"/>
        </patternFill>
      </fill>
    </dxf>
    <dxf>
      <fill>
        <patternFill patternType="solid">
          <fgColor rgb="FF6A7A40"/>
          <bgColor rgb="FF000000"/>
        </patternFill>
      </fill>
    </dxf>
    <dxf>
      <fill>
        <patternFill patternType="solid">
          <fgColor rgb="FF6A7A48"/>
          <bgColor rgb="FF000000"/>
        </patternFill>
      </fill>
    </dxf>
    <dxf>
      <fill>
        <patternFill patternType="solid">
          <fgColor rgb="FF6A7A4A"/>
          <bgColor rgb="FF000000"/>
        </patternFill>
      </fill>
    </dxf>
    <dxf>
      <fill>
        <patternFill patternType="solid">
          <fgColor rgb="FF6A8A46"/>
          <bgColor rgb="FF000000"/>
        </patternFill>
      </fill>
    </dxf>
    <dxf>
      <fill>
        <patternFill patternType="solid">
          <fgColor rgb="FF6C7A45"/>
          <bgColor rgb="FF000000"/>
        </patternFill>
      </fill>
    </dxf>
    <dxf>
      <fill>
        <patternFill patternType="solid">
          <fgColor rgb="FF6E5A40"/>
          <bgColor rgb="FF000000"/>
        </patternFill>
      </fill>
    </dxf>
    <dxf>
      <fill>
        <patternFill patternType="solid">
          <fgColor rgb="FF7A4A2A"/>
          <bgColor rgb="FF000000"/>
        </patternFill>
      </fill>
    </dxf>
    <dxf>
      <fill>
        <patternFill patternType="solid">
          <fgColor rgb="FF7A4A3A"/>
          <bgColor rgb="FF000000"/>
        </patternFill>
      </fill>
    </dxf>
    <dxf>
      <fill>
        <patternFill patternType="solid">
          <fgColor rgb="FF7A6A40"/>
          <bgColor rgb="FF000000"/>
        </patternFill>
      </fill>
    </dxf>
    <dxf>
      <fill>
        <patternFill patternType="solid">
          <fgColor rgb="FF7A6A50"/>
          <bgColor rgb="FF000000"/>
        </patternFill>
      </fill>
    </dxf>
    <dxf>
      <fill>
        <patternFill patternType="solid">
          <fgColor rgb="FF7A6A58"/>
          <bgColor rgb="FF000000"/>
        </patternFill>
      </fill>
    </dxf>
    <dxf>
      <fill>
        <patternFill patternType="solid">
          <fgColor rgb="FF7A6A5A"/>
          <bgColor rgb="FF000000"/>
        </patternFill>
      </fill>
    </dxf>
    <dxf>
      <fill>
        <patternFill patternType="solid">
          <fgColor rgb="FF7A7A4A"/>
          <bgColor rgb="FF000000"/>
        </patternFill>
      </fill>
    </dxf>
    <dxf>
      <fill>
        <patternFill patternType="solid">
          <fgColor rgb="FF7A7A5A"/>
          <bgColor rgb="FF000000"/>
        </patternFill>
      </fill>
    </dxf>
    <dxf>
      <fill>
        <patternFill patternType="solid">
          <fgColor rgb="FF7A8A76"/>
          <bgColor rgb="FF000000"/>
        </patternFill>
      </fill>
    </dxf>
    <dxf>
      <fill>
        <patternFill patternType="solid">
          <fgColor rgb="FF8A3A2A"/>
          <bgColor rgb="FF000000"/>
        </patternFill>
      </fill>
    </dxf>
    <dxf>
      <fill>
        <patternFill patternType="solid">
          <fgColor rgb="FF8A3A30"/>
          <bgColor rgb="FF000000"/>
        </patternFill>
      </fill>
    </dxf>
    <dxf>
      <fill>
        <patternFill patternType="solid">
          <fgColor rgb="FF8A7A58"/>
          <bgColor rgb="FF000000"/>
        </patternFill>
      </fill>
    </dxf>
    <dxf>
      <fill>
        <patternFill patternType="solid">
          <fgColor rgb="FF8A7A5A"/>
          <bgColor rgb="FF000000"/>
        </patternFill>
      </fill>
    </dxf>
    <dxf>
      <fill>
        <patternFill patternType="solid">
          <fgColor rgb="FF8A7A5E"/>
          <bgColor rgb="FF000000"/>
        </patternFill>
      </fill>
    </dxf>
    <dxf>
      <fill>
        <patternFill patternType="solid">
          <fgColor rgb="FF8A7A60"/>
          <bgColor rgb="FF000000"/>
        </patternFill>
      </fill>
    </dxf>
    <dxf>
      <fill>
        <patternFill patternType="solid">
          <fgColor rgb="FF8A8070"/>
          <bgColor rgb="FF000000"/>
        </patternFill>
      </fill>
    </dxf>
    <dxf>
      <fill>
        <patternFill patternType="solid">
          <fgColor rgb="FF8A8478"/>
          <bgColor rgb="FF000000"/>
        </patternFill>
      </fill>
    </dxf>
    <dxf>
      <fill>
        <patternFill patternType="solid">
          <fgColor rgb="FF9A8768"/>
          <bgColor rgb="FF000000"/>
        </patternFill>
      </fill>
    </dxf>
    <dxf>
      <fill>
        <patternFill patternType="solid">
          <fgColor rgb="FF9A8A5A"/>
          <bgColor rgb="FF000000"/>
        </patternFill>
      </fill>
    </dxf>
    <dxf>
      <fill>
        <patternFill patternType="solid">
          <fgColor rgb="FF9A9A8A"/>
          <bgColor rgb="FF000000"/>
        </patternFill>
      </fill>
    </dxf>
    <dxf>
      <fill>
        <patternFill patternType="solid">
          <fgColor rgb="FFA0603A"/>
          <bgColor rgb="FF000000"/>
        </patternFill>
      </fill>
    </dxf>
    <dxf>
      <fill>
        <patternFill patternType="solid">
          <fgColor rgb="FFA07040"/>
          <bgColor rgb="FF000000"/>
        </patternFill>
      </fill>
    </dxf>
    <dxf>
      <fill>
        <patternFill patternType="solid">
          <fgColor rgb="FFA09A88"/>
          <bgColor rgb="FF000000"/>
        </patternFill>
      </fill>
    </dxf>
    <dxf>
      <fill>
        <patternFill patternType="solid">
          <fgColor rgb="FFA8986A"/>
          <bgColor rgb="FF000000"/>
        </patternFill>
      </fill>
    </dxf>
    <dxf>
      <fill>
        <patternFill patternType="solid">
          <fgColor rgb="FFA8A0B8"/>
          <bgColor rgb="FF000000"/>
        </patternFill>
      </fill>
    </dxf>
    <dxf>
      <fill>
        <patternFill patternType="solid">
          <fgColor rgb="FFB06A3A"/>
          <bgColor rgb="FF000000"/>
        </patternFill>
      </fill>
    </dxf>
    <dxf>
      <fill>
        <patternFill patternType="solid">
          <fgColor rgb="FFC0A070"/>
          <bgColor rgb="FF000000"/>
        </patternFill>
      </fill>
    </dxf>
    <dxf>
      <fill>
        <patternFill patternType="solid">
          <fgColor rgb="FFC8A8B0"/>
          <bgColor rgb="FF000000"/>
        </patternFill>
      </fill>
    </dxf>
    <dxf>
      <fill>
        <patternFill patternType="solid">
          <fgColor rgb="FFC8B04A"/>
          <bgColor rgb="FF000000"/>
        </patternFill>
      </fill>
    </dxf>
    <dxf>
      <fill>
        <patternFill patternType="solid">
          <fgColor rgb="FFD08A48"/>
          <bgColor rgb="FF000000"/>
        </patternFill>
      </fill>
    </dxf>
    <dxf>
      <fill>
        <patternFill>
          <bgColor rgb="FFA9C99A"/>
        </patternFill>
      </fill>
    </dxf>
    <dxf>
      <fill>
        <patternFill>
          <bgColor rgb="FFE8D49A"/>
        </patternFill>
      </fill>
    </dxf>
  </dxfs>
  <colors>
    <indexedColors>
      <rgbColor rgb="FF000000"/>
      <rgbColor rgb="FFFFFFFF"/>
      <rgbColor rgb="FF928A62"/>
      <rgbColor rgb="FFA2A06C"/>
      <rgbColor rgb="FF0000FF"/>
      <rgbColor rgb="FFEFD240"/>
      <rgbColor rgb="FFD3A4B4"/>
      <rgbColor rgb="FFCCCD6C"/>
      <rgbColor rgb="FF5C7B3B"/>
      <rgbColor rgb="FF3F6C33"/>
      <rgbColor rgb="FFD1A859"/>
      <rgbColor rgb="FF6D8D3E"/>
      <rgbColor rgb="FF8F6DC4"/>
      <rgbColor rgb="FF487A35"/>
      <rgbColor rgb="FFCFD89F"/>
      <rgbColor rgb="FF8A7D6A"/>
      <rgbColor rgb="FF9E9CD1"/>
      <rgbColor rgb="FF6A4C32"/>
      <rgbColor rgb="FFF5F2E7"/>
      <rgbColor rgb="FFF2F0F4"/>
      <rgbColor rgb="FF7F6A41"/>
      <rgbColor rgb="FFEA8A2A"/>
      <rgbColor rgb="FF667A51"/>
      <rgbColor rgb="FFECD4E9"/>
      <rgbColor rgb="FFE4C12F"/>
      <rgbColor rgb="FFC0AB82"/>
      <rgbColor rgb="FFE6D365"/>
      <rgbColor rgb="FFE7E3C6"/>
      <rgbColor rgb="FF827A56"/>
      <rgbColor rgb="FF718A5A"/>
      <rgbColor rgb="FF516B38"/>
      <rgbColor rgb="FFF3F1E8"/>
      <rgbColor rgb="FF6E9C43"/>
      <rgbColor rgb="FFF6F5F0"/>
      <rgbColor rgb="FFEEECE2"/>
      <rgbColor rgb="FFF2EFE5"/>
      <rgbColor rgb="FFEBE2F0"/>
      <rgbColor rgb="FFE8A0AC"/>
      <rgbColor rgb="FFD3A4D3"/>
      <rgbColor rgb="FFF2D59D"/>
      <rgbColor rgb="FF7A54C8"/>
      <rgbColor rgb="FF8A9C79"/>
      <rgbColor rgb="FF7E9F3D"/>
      <rgbColor rgb="FFF1C427"/>
      <rgbColor rgb="FFEFA022"/>
      <rgbColor rgb="FFC2609F"/>
      <rgbColor rgb="FF7A6463"/>
      <rgbColor rgb="FF9C9E89"/>
      <rgbColor rgb="FF54563C"/>
      <rgbColor rgb="FF598B38"/>
      <rgbColor rgb="FF6B5C48"/>
      <rgbColor rgb="FF2C472B"/>
      <rgbColor rgb="FF7F312B"/>
      <rgbColor rgb="FFA8633B"/>
      <rgbColor rgb="FF4A3E32"/>
      <rgbColor rgb="FF352F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3" customFormat="false" ht="48" hidden="false" customHeight="true" outlineLevel="0" collapsed="false">
      <c r="A3" s="2" t="s">
        <v>1</v>
      </c>
      <c r="B3" s="3" t="s">
        <v>2</v>
      </c>
    </row>
    <row r="4" customFormat="false" ht="48" hidden="false" customHeight="true" outlineLevel="0" collapsed="false">
      <c r="A4" s="2" t="s">
        <v>3</v>
      </c>
      <c r="B4" s="3" t="s">
        <v>4</v>
      </c>
    </row>
    <row r="5" customFormat="false" ht="48" hidden="false" customHeight="true" outlineLevel="0" collapsed="false">
      <c r="A5" s="2" t="s">
        <v>5</v>
      </c>
      <c r="B5" s="3" t="s">
        <v>6</v>
      </c>
    </row>
    <row r="6" customFormat="false" ht="48" hidden="false" customHeight="true" outlineLevel="0" collapsed="false">
      <c r="A6" s="2" t="s">
        <v>7</v>
      </c>
      <c r="B6" s="3" t="s">
        <v>8</v>
      </c>
    </row>
    <row r="7" customFormat="false" ht="48" hidden="false" customHeight="true" outlineLevel="0" collapsed="false">
      <c r="A7" s="2" t="s">
        <v>9</v>
      </c>
      <c r="B7" s="3" t="s">
        <v>10</v>
      </c>
    </row>
    <row r="8" customFormat="false" ht="48" hidden="false" customHeight="true" outlineLevel="0" collapsed="false">
      <c r="A8" s="2" t="s">
        <v>11</v>
      </c>
      <c r="B8" s="3" t="s">
        <v>12</v>
      </c>
    </row>
    <row r="9" customFormat="false" ht="48" hidden="false" customHeight="true" outlineLevel="0" collapsed="false">
      <c r="A9" s="2" t="s">
        <v>13</v>
      </c>
      <c r="B9" s="3" t="s">
        <v>14</v>
      </c>
    </row>
    <row r="10" customFormat="false" ht="48" hidden="false" customHeight="true" outlineLevel="0" collapsed="false">
      <c r="A10" s="2" t="s">
        <v>15</v>
      </c>
      <c r="B10" s="3" t="s">
        <v>16</v>
      </c>
    </row>
    <row r="11" customFormat="false" ht="48" hidden="false" customHeight="true" outlineLevel="0" collapsed="false">
      <c r="A11" s="2" t="s">
        <v>17</v>
      </c>
      <c r="B11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19"/>
    <col collapsed="false" customWidth="true" hidden="false" outlineLevel="0" max="6" min="6" style="0" width="13"/>
    <col collapsed="false" customWidth="true" hidden="false" outlineLevel="0" max="9" min="7" style="0" width="9"/>
    <col collapsed="false" customWidth="true" hidden="false" outlineLevel="0" max="10" min="10" style="0" width="11"/>
    <col collapsed="false" customWidth="true" hidden="false" outlineLevel="0" max="11" min="11" style="0" width="6"/>
    <col collapsed="false" customWidth="true" hidden="false" outlineLevel="0" max="12" min="12" style="0" width="11"/>
    <col collapsed="false" customWidth="true" hidden="false" outlineLevel="0" max="13" min="13" style="0" width="6"/>
    <col collapsed="false" customWidth="true" hidden="false" outlineLevel="0" max="14" min="14" style="0" width="11"/>
    <col collapsed="false" customWidth="true" hidden="false" outlineLevel="0" max="15" min="15" style="0" width="6"/>
    <col collapsed="false" customWidth="true" hidden="false" outlineLevel="0" max="16" min="16" style="0" width="9"/>
    <col collapsed="false" customWidth="true" hidden="false" outlineLevel="0" max="17" min="17" style="0" width="32"/>
    <col collapsed="false" customWidth="true" hidden="false" outlineLevel="0" max="18" min="18" style="0" width="16"/>
    <col collapsed="false" customWidth="true" hidden="false" outlineLevel="0" max="19" min="19" style="0" width="52"/>
    <col collapsed="false" customWidth="true" hidden="false" outlineLevel="0" max="20" min="20" style="0" width="8"/>
    <col collapsed="false" customWidth="true" hidden="false" outlineLevel="0" max="22" min="21" style="0" width="10"/>
    <col collapsed="false" customWidth="true" hidden="false" outlineLevel="0" max="23" min="23" style="0" width="11"/>
  </cols>
  <sheetData>
    <row r="1" customFormat="false" ht="39.55" hidden="false" customHeight="false" outlineLevel="0" collapsed="false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4" t="s">
        <v>31</v>
      </c>
      <c r="N1" s="4" t="s">
        <v>32</v>
      </c>
      <c r="O1" s="4" t="s">
        <v>33</v>
      </c>
      <c r="P1" s="4" t="s">
        <v>34</v>
      </c>
      <c r="Q1" s="4" t="s">
        <v>35</v>
      </c>
      <c r="R1" s="4" t="s">
        <v>36</v>
      </c>
      <c r="S1" s="4" t="s">
        <v>37</v>
      </c>
      <c r="T1" s="4" t="s">
        <v>38</v>
      </c>
      <c r="U1" s="4" t="s">
        <v>39</v>
      </c>
      <c r="V1" s="4" t="s">
        <v>40</v>
      </c>
      <c r="W1" s="5" t="s">
        <v>41</v>
      </c>
    </row>
    <row r="2" customFormat="false" ht="15" hidden="false" customHeight="false" outlineLevel="0" collapsed="false">
      <c r="A2" s="6" t="s">
        <v>42</v>
      </c>
      <c r="B2" s="7" t="s">
        <v>43</v>
      </c>
      <c r="C2" s="7" t="s">
        <v>44</v>
      </c>
      <c r="D2" s="7" t="s">
        <v>45</v>
      </c>
      <c r="E2" s="7" t="s">
        <v>46</v>
      </c>
      <c r="F2" s="7" t="s">
        <v>47</v>
      </c>
      <c r="G2" s="7" t="n">
        <v>5</v>
      </c>
      <c r="H2" s="7" t="n">
        <v>8</v>
      </c>
      <c r="I2" s="7" t="n">
        <v>9</v>
      </c>
      <c r="J2" s="7" t="s">
        <v>48</v>
      </c>
      <c r="K2" s="7" t="n">
        <v>3</v>
      </c>
      <c r="L2" s="7" t="s">
        <v>49</v>
      </c>
      <c r="M2" s="7" t="n">
        <v>2</v>
      </c>
      <c r="N2" s="7"/>
      <c r="O2" s="7"/>
      <c r="P2" s="7" t="n">
        <v>1</v>
      </c>
      <c r="Q2" s="7" t="s">
        <v>50</v>
      </c>
      <c r="R2" s="7" t="s">
        <v>51</v>
      </c>
      <c r="S2" s="7" t="s">
        <v>52</v>
      </c>
      <c r="T2" s="7" t="n">
        <v>1</v>
      </c>
      <c r="U2" s="6" t="n">
        <f aca="false">ROUND(2*T2^2*IF(D2="Rare Active",6,IF(D2="Workhorse",2,1))+(K2+M2+O2)/2,0)</f>
        <v>5</v>
      </c>
      <c r="V2" s="7" t="n">
        <v>45</v>
      </c>
      <c r="W2" s="6" t="str">
        <f aca="false">IF(COUNTIF(Plants!$A$2:$A$1000,C2)&gt;0,"yes","")</f>
        <v>yes</v>
      </c>
    </row>
    <row r="3" customFormat="false" ht="15" hidden="false" customHeight="false" outlineLevel="0" collapsed="false">
      <c r="A3" s="6" t="s">
        <v>53</v>
      </c>
      <c r="B3" s="7" t="s">
        <v>54</v>
      </c>
      <c r="C3" s="7" t="s">
        <v>55</v>
      </c>
      <c r="D3" s="7" t="s">
        <v>45</v>
      </c>
      <c r="E3" s="7" t="s">
        <v>46</v>
      </c>
      <c r="F3" s="7" t="s">
        <v>56</v>
      </c>
      <c r="G3" s="7" t="n">
        <v>3</v>
      </c>
      <c r="H3" s="7" t="n">
        <v>5</v>
      </c>
      <c r="I3" s="7" t="n">
        <v>5</v>
      </c>
      <c r="J3" s="7" t="s">
        <v>57</v>
      </c>
      <c r="K3" s="7" t="n">
        <v>3</v>
      </c>
      <c r="L3" s="7" t="s">
        <v>58</v>
      </c>
      <c r="M3" s="7" t="n">
        <v>1</v>
      </c>
      <c r="N3" s="7"/>
      <c r="O3" s="7"/>
      <c r="P3" s="7" t="n">
        <v>0</v>
      </c>
      <c r="Q3" s="7" t="s">
        <v>59</v>
      </c>
      <c r="R3" s="7" t="s">
        <v>60</v>
      </c>
      <c r="S3" s="7" t="s">
        <v>61</v>
      </c>
      <c r="T3" s="7" t="n">
        <v>1</v>
      </c>
      <c r="U3" s="6" t="n">
        <f aca="false">ROUND(2*T3^2*IF(D3="Rare Active",6,IF(D3="Workhorse",2,1))+(K3+M3+O3)/2,0)</f>
        <v>4</v>
      </c>
      <c r="V3" s="7" t="n">
        <v>40</v>
      </c>
      <c r="W3" s="6" t="str">
        <f aca="false">IF(COUNTIF(Plants!$A$2:$A$1000,C3)&gt;0,"yes","")</f>
        <v>yes</v>
      </c>
    </row>
    <row r="4" customFormat="false" ht="15" hidden="false" customHeight="false" outlineLevel="0" collapsed="false">
      <c r="A4" s="6" t="s">
        <v>62</v>
      </c>
      <c r="B4" s="7" t="s">
        <v>63</v>
      </c>
      <c r="C4" s="7" t="s">
        <v>64</v>
      </c>
      <c r="D4" s="7" t="s">
        <v>45</v>
      </c>
      <c r="E4" s="7" t="s">
        <v>46</v>
      </c>
      <c r="F4" s="7" t="s">
        <v>56</v>
      </c>
      <c r="G4" s="7" t="n">
        <v>3</v>
      </c>
      <c r="H4" s="7" t="n">
        <v>5</v>
      </c>
      <c r="I4" s="7" t="n">
        <v>5</v>
      </c>
      <c r="J4" s="7" t="s">
        <v>65</v>
      </c>
      <c r="K4" s="7" t="n">
        <v>2</v>
      </c>
      <c r="L4" s="7" t="s">
        <v>66</v>
      </c>
      <c r="M4" s="7" t="n">
        <v>1</v>
      </c>
      <c r="N4" s="7"/>
      <c r="O4" s="7"/>
      <c r="P4" s="7" t="n">
        <v>0</v>
      </c>
      <c r="Q4" s="7" t="s">
        <v>67</v>
      </c>
      <c r="R4" s="7" t="s">
        <v>68</v>
      </c>
      <c r="S4" s="7" t="s">
        <v>69</v>
      </c>
      <c r="T4" s="7" t="n">
        <v>1</v>
      </c>
      <c r="U4" s="6" t="n">
        <f aca="false">ROUND(2*T4^2*IF(D4="Rare Active",6,IF(D4="Workhorse",2,1))+(K4+M4+O4)/2,0)</f>
        <v>4</v>
      </c>
      <c r="V4" s="7" t="n">
        <v>40</v>
      </c>
      <c r="W4" s="6" t="str">
        <f aca="false">IF(COUNTIF(Plants!$A$2:$A$1000,C4)&gt;0,"yes","")</f>
        <v>yes</v>
      </c>
    </row>
    <row r="5" customFormat="false" ht="15" hidden="false" customHeight="false" outlineLevel="0" collapsed="false">
      <c r="A5" s="6" t="s">
        <v>70</v>
      </c>
      <c r="B5" s="7" t="s">
        <v>71</v>
      </c>
      <c r="C5" s="7" t="s">
        <v>72</v>
      </c>
      <c r="D5" s="7" t="s">
        <v>45</v>
      </c>
      <c r="E5" s="7" t="s">
        <v>46</v>
      </c>
      <c r="F5" s="7" t="s">
        <v>56</v>
      </c>
      <c r="G5" s="7" t="n">
        <v>3</v>
      </c>
      <c r="H5" s="7" t="n">
        <v>5</v>
      </c>
      <c r="I5" s="7" t="n">
        <v>5</v>
      </c>
      <c r="J5" s="7" t="s">
        <v>65</v>
      </c>
      <c r="K5" s="7" t="n">
        <v>2</v>
      </c>
      <c r="L5" s="7"/>
      <c r="M5" s="7"/>
      <c r="N5" s="7"/>
      <c r="O5" s="7"/>
      <c r="P5" s="7" t="n">
        <v>0</v>
      </c>
      <c r="Q5" s="7" t="s">
        <v>73</v>
      </c>
      <c r="R5" s="7" t="s">
        <v>60</v>
      </c>
      <c r="S5" s="7" t="s">
        <v>69</v>
      </c>
      <c r="T5" s="7" t="n">
        <v>1</v>
      </c>
      <c r="U5" s="6" t="n">
        <f aca="false">ROUND(2*T5^2*IF(D5="Rare Active",6,IF(D5="Workhorse",2,1))+(K5+M5+O5)/2,0)</f>
        <v>3</v>
      </c>
      <c r="V5" s="7" t="n">
        <v>40</v>
      </c>
      <c r="W5" s="6" t="str">
        <f aca="false">IF(COUNTIF(Plants!$A$2:$A$1000,C5)&gt;0,"yes","")</f>
        <v>yes</v>
      </c>
    </row>
    <row r="6" customFormat="false" ht="15" hidden="false" customHeight="false" outlineLevel="0" collapsed="false">
      <c r="A6" s="6" t="s">
        <v>74</v>
      </c>
      <c r="B6" s="7" t="s">
        <v>75</v>
      </c>
      <c r="C6" s="7" t="s">
        <v>76</v>
      </c>
      <c r="D6" s="7" t="s">
        <v>77</v>
      </c>
      <c r="E6" s="7" t="s">
        <v>46</v>
      </c>
      <c r="F6" s="7" t="s">
        <v>78</v>
      </c>
      <c r="G6" s="7" t="n">
        <v>3</v>
      </c>
      <c r="H6" s="7" t="n">
        <v>11</v>
      </c>
      <c r="I6" s="7" t="n">
        <v>5</v>
      </c>
      <c r="J6" s="7" t="s">
        <v>79</v>
      </c>
      <c r="K6" s="7" t="n">
        <v>5</v>
      </c>
      <c r="L6" s="7" t="s">
        <v>48</v>
      </c>
      <c r="M6" s="7" t="n">
        <v>3</v>
      </c>
      <c r="N6" s="7" t="s">
        <v>80</v>
      </c>
      <c r="O6" s="7" t="n">
        <v>2</v>
      </c>
      <c r="P6" s="7" t="n">
        <v>0</v>
      </c>
      <c r="Q6" s="7" t="s">
        <v>81</v>
      </c>
      <c r="R6" s="7" t="s">
        <v>51</v>
      </c>
      <c r="S6" s="7" t="s">
        <v>82</v>
      </c>
      <c r="T6" s="7" t="n">
        <v>1</v>
      </c>
      <c r="U6" s="6" t="n">
        <f aca="false">ROUND(2*T6^2*IF(D6="Rare Active",6,IF(D6="Workhorse",2,1))+(K6+M6+O6)/2,0)</f>
        <v>9</v>
      </c>
      <c r="V6" s="7" t="n">
        <v>120</v>
      </c>
      <c r="W6" s="6" t="str">
        <f aca="false">IF(COUNTIF(Plants!$A$2:$A$1000,C6)&gt;0,"yes","")</f>
        <v>yes</v>
      </c>
    </row>
    <row r="7" customFormat="false" ht="15" hidden="false" customHeight="false" outlineLevel="0" collapsed="false">
      <c r="A7" s="6" t="s">
        <v>83</v>
      </c>
      <c r="B7" s="7" t="s">
        <v>84</v>
      </c>
      <c r="C7" s="7" t="s">
        <v>85</v>
      </c>
      <c r="D7" s="7" t="s">
        <v>45</v>
      </c>
      <c r="E7" s="7" t="s">
        <v>86</v>
      </c>
      <c r="F7" s="7" t="s">
        <v>47</v>
      </c>
      <c r="G7" s="7" t="n">
        <v>3</v>
      </c>
      <c r="H7" s="7" t="n">
        <v>6</v>
      </c>
      <c r="I7" s="7" t="n">
        <v>6</v>
      </c>
      <c r="J7" s="7" t="s">
        <v>57</v>
      </c>
      <c r="K7" s="7" t="n">
        <v>4</v>
      </c>
      <c r="L7" s="7" t="s">
        <v>58</v>
      </c>
      <c r="M7" s="7" t="n">
        <v>1</v>
      </c>
      <c r="N7" s="7"/>
      <c r="O7" s="7"/>
      <c r="P7" s="7" t="n">
        <v>0</v>
      </c>
      <c r="Q7" s="7" t="s">
        <v>87</v>
      </c>
      <c r="R7" s="7" t="s">
        <v>88</v>
      </c>
      <c r="S7" s="7" t="s">
        <v>89</v>
      </c>
      <c r="T7" s="7" t="n">
        <v>2</v>
      </c>
      <c r="U7" s="6" t="n">
        <f aca="false">ROUND(2*T7^2*IF(D7="Rare Active",6,IF(D7="Workhorse",2,1))+(K7+M7+O7)/2,0)</f>
        <v>11</v>
      </c>
      <c r="V7" s="7" t="n">
        <v>45</v>
      </c>
      <c r="W7" s="6" t="str">
        <f aca="false">IF(COUNTIF(Plants!$A$2:$A$1000,C7)&gt;0,"yes","")</f>
        <v>yes</v>
      </c>
    </row>
    <row r="8" customFormat="false" ht="15" hidden="false" customHeight="false" outlineLevel="0" collapsed="false">
      <c r="A8" s="6" t="s">
        <v>90</v>
      </c>
      <c r="B8" s="7" t="s">
        <v>91</v>
      </c>
      <c r="C8" s="7" t="s">
        <v>92</v>
      </c>
      <c r="D8" s="7" t="s">
        <v>45</v>
      </c>
      <c r="E8" s="7" t="s">
        <v>93</v>
      </c>
      <c r="F8" s="7" t="s">
        <v>56</v>
      </c>
      <c r="G8" s="7" t="n">
        <v>4</v>
      </c>
      <c r="H8" s="7" t="n">
        <v>6</v>
      </c>
      <c r="I8" s="7" t="n">
        <v>6</v>
      </c>
      <c r="J8" s="7" t="s">
        <v>94</v>
      </c>
      <c r="K8" s="7" t="n">
        <v>1</v>
      </c>
      <c r="L8" s="7" t="s">
        <v>49</v>
      </c>
      <c r="M8" s="7" t="n">
        <v>2</v>
      </c>
      <c r="N8" s="7"/>
      <c r="O8" s="7"/>
      <c r="P8" s="7" t="n">
        <v>0</v>
      </c>
      <c r="Q8" s="7" t="s">
        <v>95</v>
      </c>
      <c r="R8" s="7" t="s">
        <v>96</v>
      </c>
      <c r="S8" s="7" t="s">
        <v>97</v>
      </c>
      <c r="T8" s="7" t="n">
        <v>1</v>
      </c>
      <c r="U8" s="6" t="n">
        <f aca="false">ROUND(2*T8^2*IF(D8="Rare Active",6,IF(D8="Workhorse",2,1))+(K8+M8+O8)/2,0)</f>
        <v>4</v>
      </c>
      <c r="V8" s="7" t="n">
        <v>40</v>
      </c>
      <c r="W8" s="6" t="str">
        <f aca="false">IF(COUNTIF(Plants!$A$2:$A$1000,C8)&gt;0,"yes","")</f>
        <v>yes</v>
      </c>
    </row>
    <row r="9" customFormat="false" ht="15" hidden="false" customHeight="false" outlineLevel="0" collapsed="false">
      <c r="A9" s="6" t="s">
        <v>98</v>
      </c>
      <c r="B9" s="7" t="s">
        <v>99</v>
      </c>
      <c r="C9" s="7" t="s">
        <v>100</v>
      </c>
      <c r="D9" s="7" t="s">
        <v>45</v>
      </c>
      <c r="E9" s="7" t="s">
        <v>46</v>
      </c>
      <c r="F9" s="7" t="s">
        <v>47</v>
      </c>
      <c r="G9" s="7" t="n">
        <v>5</v>
      </c>
      <c r="H9" s="7" t="n">
        <v>10</v>
      </c>
      <c r="I9" s="7" t="n">
        <v>7</v>
      </c>
      <c r="J9" s="7" t="s">
        <v>49</v>
      </c>
      <c r="K9" s="7" t="n">
        <v>5</v>
      </c>
      <c r="L9" s="7"/>
      <c r="M9" s="7"/>
      <c r="N9" s="7"/>
      <c r="O9" s="7"/>
      <c r="P9" s="7" t="n">
        <v>1</v>
      </c>
      <c r="Q9" s="7" t="s">
        <v>101</v>
      </c>
      <c r="R9" s="7" t="s">
        <v>102</v>
      </c>
      <c r="S9" s="7" t="s">
        <v>103</v>
      </c>
      <c r="T9" s="7" t="n">
        <v>1</v>
      </c>
      <c r="U9" s="6" t="n">
        <f aca="false">ROUND(2*T9^2*IF(D9="Rare Active",6,IF(D9="Workhorse",2,1))+(K9+M9+O9)/2,0)</f>
        <v>5</v>
      </c>
      <c r="V9" s="7" t="n">
        <v>45</v>
      </c>
      <c r="W9" s="6" t="str">
        <f aca="false">IF(COUNTIF(Plants!$A$2:$A$1000,C9)&gt;0,"yes","")</f>
        <v>yes</v>
      </c>
    </row>
    <row r="10" customFormat="false" ht="15" hidden="false" customHeight="false" outlineLevel="0" collapsed="false">
      <c r="A10" s="6" t="s">
        <v>104</v>
      </c>
      <c r="B10" s="7" t="s">
        <v>105</v>
      </c>
      <c r="C10" s="7" t="s">
        <v>106</v>
      </c>
      <c r="D10" s="7" t="s">
        <v>45</v>
      </c>
      <c r="E10" s="7" t="s">
        <v>107</v>
      </c>
      <c r="F10" s="7" t="s">
        <v>47</v>
      </c>
      <c r="G10" s="7" t="n">
        <v>4</v>
      </c>
      <c r="H10" s="7" t="n">
        <v>7</v>
      </c>
      <c r="I10" s="7" t="n">
        <v>7</v>
      </c>
      <c r="J10" s="7" t="s">
        <v>49</v>
      </c>
      <c r="K10" s="7" t="n">
        <v>4</v>
      </c>
      <c r="L10" s="7" t="s">
        <v>108</v>
      </c>
      <c r="M10" s="7" t="n">
        <v>2</v>
      </c>
      <c r="N10" s="7"/>
      <c r="O10" s="7"/>
      <c r="P10" s="7" t="n">
        <v>1</v>
      </c>
      <c r="Q10" s="7" t="s">
        <v>109</v>
      </c>
      <c r="R10" s="7" t="s">
        <v>102</v>
      </c>
      <c r="S10" s="7" t="s">
        <v>103</v>
      </c>
      <c r="T10" s="7" t="n">
        <v>1</v>
      </c>
      <c r="U10" s="6" t="n">
        <f aca="false">ROUND(2*T10^2*IF(D10="Rare Active",6,IF(D10="Workhorse",2,1))+(K10+M10+O10)/2,0)</f>
        <v>5</v>
      </c>
      <c r="V10" s="7" t="n">
        <v>45</v>
      </c>
      <c r="W10" s="6" t="str">
        <f aca="false">IF(COUNTIF(Plants!$A$2:$A$1000,C10)&gt;0,"yes","")</f>
        <v>yes</v>
      </c>
    </row>
    <row r="11" customFormat="false" ht="15" hidden="false" customHeight="false" outlineLevel="0" collapsed="false">
      <c r="A11" s="6" t="s">
        <v>110</v>
      </c>
      <c r="B11" s="7" t="s">
        <v>111</v>
      </c>
      <c r="C11" s="7" t="s">
        <v>112</v>
      </c>
      <c r="D11" s="7" t="s">
        <v>77</v>
      </c>
      <c r="E11" s="7" t="s">
        <v>46</v>
      </c>
      <c r="F11" s="7" t="s">
        <v>78</v>
      </c>
      <c r="G11" s="7" t="n">
        <v>9</v>
      </c>
      <c r="H11" s="7" t="n">
        <v>11</v>
      </c>
      <c r="I11" s="7" t="n">
        <v>8</v>
      </c>
      <c r="J11" s="7" t="s">
        <v>108</v>
      </c>
      <c r="K11" s="7" t="n">
        <v>4</v>
      </c>
      <c r="L11" s="7" t="s">
        <v>113</v>
      </c>
      <c r="M11" s="7" t="n">
        <v>3</v>
      </c>
      <c r="N11" s="7" t="s">
        <v>114</v>
      </c>
      <c r="O11" s="7" t="n">
        <v>2</v>
      </c>
      <c r="P11" s="7" t="n">
        <v>1</v>
      </c>
      <c r="Q11" s="7" t="s">
        <v>115</v>
      </c>
      <c r="R11" s="7" t="s">
        <v>51</v>
      </c>
      <c r="S11" s="7" t="s">
        <v>116</v>
      </c>
      <c r="T11" s="7" t="n">
        <v>1</v>
      </c>
      <c r="U11" s="6" t="n">
        <f aca="false">ROUND(2*T11^2*IF(D11="Rare Active",6,IF(D11="Workhorse",2,1))+(K11+M11+O11)/2,0)</f>
        <v>9</v>
      </c>
      <c r="V11" s="7" t="n">
        <v>120</v>
      </c>
      <c r="W11" s="6" t="str">
        <f aca="false">IF(COUNTIF(Plants!$A$2:$A$1000,C11)&gt;0,"yes","")</f>
        <v>yes</v>
      </c>
    </row>
    <row r="12" customFormat="false" ht="15" hidden="false" customHeight="false" outlineLevel="0" collapsed="false">
      <c r="A12" s="6" t="s">
        <v>117</v>
      </c>
      <c r="B12" s="7" t="s">
        <v>118</v>
      </c>
      <c r="C12" s="7" t="s">
        <v>119</v>
      </c>
      <c r="D12" s="7" t="s">
        <v>45</v>
      </c>
      <c r="E12" s="7" t="s">
        <v>107</v>
      </c>
      <c r="F12" s="7" t="s">
        <v>120</v>
      </c>
      <c r="G12" s="7" t="n">
        <v>5</v>
      </c>
      <c r="H12" s="7" t="n">
        <v>8</v>
      </c>
      <c r="I12" s="7" t="n">
        <v>8</v>
      </c>
      <c r="J12" s="7" t="s">
        <v>65</v>
      </c>
      <c r="K12" s="7" t="n">
        <v>3</v>
      </c>
      <c r="L12" s="7" t="s">
        <v>94</v>
      </c>
      <c r="M12" s="7" t="n">
        <v>2</v>
      </c>
      <c r="N12" s="7" t="s">
        <v>48</v>
      </c>
      <c r="O12" s="7" t="n">
        <v>2</v>
      </c>
      <c r="P12" s="7" t="n">
        <v>0</v>
      </c>
      <c r="Q12" s="7" t="s">
        <v>121</v>
      </c>
      <c r="R12" s="7" t="s">
        <v>122</v>
      </c>
      <c r="S12" s="7" t="s">
        <v>123</v>
      </c>
      <c r="T12" s="7" t="n">
        <v>1</v>
      </c>
      <c r="U12" s="6" t="n">
        <f aca="false">ROUND(2*T12^2*IF(D12="Rare Active",6,IF(D12="Workhorse",2,1))+(K12+M12+O12)/2,0)</f>
        <v>6</v>
      </c>
      <c r="V12" s="7" t="n">
        <v>30</v>
      </c>
      <c r="W12" s="6" t="str">
        <f aca="false">IF(COUNTIF(Plants!$A$2:$A$1000,C12)&gt;0,"yes","")</f>
        <v>yes</v>
      </c>
    </row>
    <row r="13" customFormat="false" ht="15" hidden="false" customHeight="false" outlineLevel="0" collapsed="false">
      <c r="A13" s="6" t="s">
        <v>124</v>
      </c>
      <c r="B13" s="7" t="s">
        <v>125</v>
      </c>
      <c r="C13" s="7" t="s">
        <v>126</v>
      </c>
      <c r="D13" s="7" t="s">
        <v>45</v>
      </c>
      <c r="E13" s="7" t="s">
        <v>46</v>
      </c>
      <c r="F13" s="7" t="s">
        <v>120</v>
      </c>
      <c r="G13" s="7" t="n">
        <v>5</v>
      </c>
      <c r="H13" s="7" t="n">
        <v>9</v>
      </c>
      <c r="I13" s="7" t="n">
        <v>8</v>
      </c>
      <c r="J13" s="7" t="s">
        <v>48</v>
      </c>
      <c r="K13" s="7" t="n">
        <v>2</v>
      </c>
      <c r="L13" s="7" t="s">
        <v>65</v>
      </c>
      <c r="M13" s="7" t="n">
        <v>1</v>
      </c>
      <c r="N13" s="7"/>
      <c r="O13" s="7"/>
      <c r="P13" s="7" t="n">
        <v>0</v>
      </c>
      <c r="Q13" s="7" t="s">
        <v>121</v>
      </c>
      <c r="R13" s="7" t="s">
        <v>60</v>
      </c>
      <c r="S13" s="7" t="s">
        <v>127</v>
      </c>
      <c r="T13" s="7" t="n">
        <v>1</v>
      </c>
      <c r="U13" s="6" t="n">
        <f aca="false">ROUND(2*T13^2*IF(D13="Rare Active",6,IF(D13="Workhorse",2,1))+(K13+M13+O13)/2,0)</f>
        <v>4</v>
      </c>
      <c r="V13" s="7" t="n">
        <v>30</v>
      </c>
      <c r="W13" s="6" t="str">
        <f aca="false">IF(COUNTIF(Plants!$A$2:$A$1000,C13)&gt;0,"yes","")</f>
        <v>yes</v>
      </c>
    </row>
    <row r="14" customFormat="false" ht="15" hidden="false" customHeight="false" outlineLevel="0" collapsed="false">
      <c r="A14" s="6" t="s">
        <v>128</v>
      </c>
      <c r="B14" s="7" t="s">
        <v>129</v>
      </c>
      <c r="C14" s="7" t="s">
        <v>130</v>
      </c>
      <c r="D14" s="7" t="s">
        <v>45</v>
      </c>
      <c r="E14" s="7" t="s">
        <v>107</v>
      </c>
      <c r="F14" s="7" t="s">
        <v>131</v>
      </c>
      <c r="G14" s="7" t="n">
        <v>5</v>
      </c>
      <c r="H14" s="7" t="n">
        <v>6</v>
      </c>
      <c r="I14" s="7" t="n">
        <v>6</v>
      </c>
      <c r="J14" s="7" t="s">
        <v>48</v>
      </c>
      <c r="K14" s="7" t="n">
        <v>4</v>
      </c>
      <c r="L14" s="7" t="s">
        <v>49</v>
      </c>
      <c r="M14" s="7" t="n">
        <v>2</v>
      </c>
      <c r="N14" s="7" t="s">
        <v>132</v>
      </c>
      <c r="O14" s="7" t="n">
        <v>2</v>
      </c>
      <c r="P14" s="7" t="n">
        <v>0</v>
      </c>
      <c r="Q14" s="7" t="s">
        <v>133</v>
      </c>
      <c r="R14" s="7" t="s">
        <v>134</v>
      </c>
      <c r="S14" s="7" t="s">
        <v>135</v>
      </c>
      <c r="T14" s="7" t="n">
        <v>2</v>
      </c>
      <c r="U14" s="6" t="n">
        <f aca="false">ROUND(2*T14^2*IF(D14="Rare Active",6,IF(D14="Workhorse",2,1))+(K14+M14+O14)/2,0)</f>
        <v>12</v>
      </c>
      <c r="V14" s="7" t="n">
        <v>10</v>
      </c>
      <c r="W14" s="6" t="str">
        <f aca="false">IF(COUNTIF(Plants!$A$2:$A$1000,C14)&gt;0,"yes","")</f>
        <v>yes</v>
      </c>
    </row>
    <row r="15" customFormat="false" ht="15" hidden="false" customHeight="false" outlineLevel="0" collapsed="false">
      <c r="A15" s="6" t="s">
        <v>136</v>
      </c>
      <c r="B15" s="7" t="s">
        <v>137</v>
      </c>
      <c r="C15" s="7" t="s">
        <v>138</v>
      </c>
      <c r="D15" s="7" t="s">
        <v>45</v>
      </c>
      <c r="E15" s="7" t="s">
        <v>139</v>
      </c>
      <c r="F15" s="7" t="s">
        <v>131</v>
      </c>
      <c r="G15" s="7" t="n">
        <v>8</v>
      </c>
      <c r="H15" s="7" t="n">
        <v>10</v>
      </c>
      <c r="I15" s="7" t="n">
        <v>9</v>
      </c>
      <c r="J15" s="7" t="s">
        <v>48</v>
      </c>
      <c r="K15" s="7" t="n">
        <v>4</v>
      </c>
      <c r="L15" s="7" t="s">
        <v>49</v>
      </c>
      <c r="M15" s="7" t="n">
        <v>3</v>
      </c>
      <c r="N15" s="7" t="s">
        <v>132</v>
      </c>
      <c r="O15" s="7" t="n">
        <v>3</v>
      </c>
      <c r="P15" s="7" t="n">
        <v>0</v>
      </c>
      <c r="Q15" s="7" t="s">
        <v>140</v>
      </c>
      <c r="R15" s="7" t="s">
        <v>141</v>
      </c>
      <c r="S15" s="7" t="s">
        <v>142</v>
      </c>
      <c r="T15" s="7" t="n">
        <v>2</v>
      </c>
      <c r="U15" s="6" t="n">
        <f aca="false">ROUND(2*T15^2*IF(D15="Rare Active",6,IF(D15="Workhorse",2,1))+(K15+M15+O15)/2,0)</f>
        <v>13</v>
      </c>
      <c r="V15" s="7" t="n">
        <v>10</v>
      </c>
      <c r="W15" s="6" t="str">
        <f aca="false">IF(COUNTIF(Plants!$A$2:$A$1000,C15)&gt;0,"yes","")</f>
        <v>yes</v>
      </c>
    </row>
    <row r="16" customFormat="false" ht="15" hidden="false" customHeight="false" outlineLevel="0" collapsed="false">
      <c r="A16" s="6" t="s">
        <v>143</v>
      </c>
      <c r="B16" s="7" t="s">
        <v>144</v>
      </c>
      <c r="C16" s="7" t="s">
        <v>145</v>
      </c>
      <c r="D16" s="7" t="s">
        <v>45</v>
      </c>
      <c r="E16" s="7" t="s">
        <v>146</v>
      </c>
      <c r="F16" s="7" t="s">
        <v>131</v>
      </c>
      <c r="G16" s="7" t="n">
        <v>6</v>
      </c>
      <c r="H16" s="7" t="n">
        <v>7</v>
      </c>
      <c r="I16" s="7" t="n">
        <v>7</v>
      </c>
      <c r="J16" s="7" t="s">
        <v>48</v>
      </c>
      <c r="K16" s="7" t="n">
        <v>4</v>
      </c>
      <c r="L16" s="7" t="s">
        <v>132</v>
      </c>
      <c r="M16" s="7" t="n">
        <v>4</v>
      </c>
      <c r="N16" s="7"/>
      <c r="O16" s="7"/>
      <c r="P16" s="7" t="n">
        <v>0</v>
      </c>
      <c r="Q16" s="7" t="s">
        <v>121</v>
      </c>
      <c r="R16" s="7" t="s">
        <v>147</v>
      </c>
      <c r="S16" s="7" t="s">
        <v>148</v>
      </c>
      <c r="T16" s="7" t="n">
        <v>2</v>
      </c>
      <c r="U16" s="6" t="n">
        <f aca="false">ROUND(2*T16^2*IF(D16="Rare Active",6,IF(D16="Workhorse",2,1))+(K16+M16+O16)/2,0)</f>
        <v>12</v>
      </c>
      <c r="V16" s="7" t="n">
        <v>10</v>
      </c>
      <c r="W16" s="6" t="str">
        <f aca="false">IF(COUNTIF(Plants!$A$2:$A$1000,C16)&gt;0,"yes","")</f>
        <v>yes</v>
      </c>
    </row>
    <row r="17" customFormat="false" ht="15" hidden="false" customHeight="false" outlineLevel="0" collapsed="false">
      <c r="A17" s="6" t="s">
        <v>149</v>
      </c>
      <c r="B17" s="7" t="s">
        <v>150</v>
      </c>
      <c r="C17" s="7" t="s">
        <v>151</v>
      </c>
      <c r="D17" s="7" t="s">
        <v>45</v>
      </c>
      <c r="E17" s="7" t="s">
        <v>146</v>
      </c>
      <c r="F17" s="7" t="s">
        <v>47</v>
      </c>
      <c r="G17" s="7" t="n">
        <v>5</v>
      </c>
      <c r="H17" s="7" t="n">
        <v>9</v>
      </c>
      <c r="I17" s="7" t="n">
        <v>8</v>
      </c>
      <c r="J17" s="7" t="s">
        <v>108</v>
      </c>
      <c r="K17" s="7" t="n">
        <v>5</v>
      </c>
      <c r="L17" s="7"/>
      <c r="M17" s="7"/>
      <c r="N17" s="7"/>
      <c r="O17" s="7"/>
      <c r="P17" s="7" t="n">
        <v>0</v>
      </c>
      <c r="Q17" s="7" t="s">
        <v>152</v>
      </c>
      <c r="R17" s="7" t="s">
        <v>153</v>
      </c>
      <c r="S17" s="7" t="s">
        <v>154</v>
      </c>
      <c r="T17" s="7" t="n">
        <v>2</v>
      </c>
      <c r="U17" s="6" t="n">
        <f aca="false">ROUND(2*T17^2*IF(D17="Rare Active",6,IF(D17="Workhorse",2,1))+(K17+M17+O17)/2,0)</f>
        <v>11</v>
      </c>
      <c r="V17" s="7" t="n">
        <v>45</v>
      </c>
      <c r="W17" s="6" t="str">
        <f aca="false">IF(COUNTIF(Plants!$A$2:$A$1000,C17)&gt;0,"yes","")</f>
        <v>yes</v>
      </c>
    </row>
    <row r="18" customFormat="false" ht="15" hidden="false" customHeight="false" outlineLevel="0" collapsed="false">
      <c r="A18" s="6" t="s">
        <v>155</v>
      </c>
      <c r="B18" s="7" t="s">
        <v>156</v>
      </c>
      <c r="C18" s="7" t="s">
        <v>157</v>
      </c>
      <c r="D18" s="7" t="s">
        <v>45</v>
      </c>
      <c r="E18" s="7" t="s">
        <v>93</v>
      </c>
      <c r="F18" s="7" t="s">
        <v>131</v>
      </c>
      <c r="G18" s="7" t="n">
        <v>6</v>
      </c>
      <c r="H18" s="7" t="n">
        <v>7</v>
      </c>
      <c r="I18" s="7" t="n">
        <v>7</v>
      </c>
      <c r="J18" s="7" t="s">
        <v>48</v>
      </c>
      <c r="K18" s="7" t="n">
        <v>5</v>
      </c>
      <c r="L18" s="7" t="s">
        <v>132</v>
      </c>
      <c r="M18" s="7" t="n">
        <v>3</v>
      </c>
      <c r="N18" s="7"/>
      <c r="O18" s="7"/>
      <c r="P18" s="7" t="n">
        <v>0</v>
      </c>
      <c r="Q18" s="7" t="s">
        <v>158</v>
      </c>
      <c r="R18" s="7" t="s">
        <v>134</v>
      </c>
      <c r="S18" s="7" t="s">
        <v>159</v>
      </c>
      <c r="T18" s="7" t="n">
        <v>2</v>
      </c>
      <c r="U18" s="6" t="n">
        <f aca="false">ROUND(2*T18^2*IF(D18="Rare Active",6,IF(D18="Workhorse",2,1))+(K18+M18+O18)/2,0)</f>
        <v>12</v>
      </c>
      <c r="V18" s="7" t="n">
        <v>10</v>
      </c>
      <c r="W18" s="6" t="str">
        <f aca="false">IF(COUNTIF(Plants!$A$2:$A$1000,C18)&gt;0,"yes","")</f>
        <v>yes</v>
      </c>
    </row>
    <row r="19" customFormat="false" ht="15" hidden="false" customHeight="false" outlineLevel="0" collapsed="false">
      <c r="A19" s="6" t="s">
        <v>160</v>
      </c>
      <c r="B19" s="7" t="s">
        <v>161</v>
      </c>
      <c r="C19" s="7" t="s">
        <v>162</v>
      </c>
      <c r="D19" s="7" t="s">
        <v>45</v>
      </c>
      <c r="E19" s="7" t="s">
        <v>93</v>
      </c>
      <c r="F19" s="7" t="s">
        <v>131</v>
      </c>
      <c r="G19" s="7" t="n">
        <v>9</v>
      </c>
      <c r="H19" s="7" t="n">
        <v>10</v>
      </c>
      <c r="I19" s="7" t="n">
        <v>10</v>
      </c>
      <c r="J19" s="7" t="s">
        <v>48</v>
      </c>
      <c r="K19" s="7" t="n">
        <v>5</v>
      </c>
      <c r="L19" s="7"/>
      <c r="M19" s="7"/>
      <c r="N19" s="7"/>
      <c r="O19" s="7"/>
      <c r="P19" s="7" t="n">
        <v>1</v>
      </c>
      <c r="Q19" s="7" t="s">
        <v>163</v>
      </c>
      <c r="R19" s="7" t="s">
        <v>164</v>
      </c>
      <c r="S19" s="7" t="s">
        <v>165</v>
      </c>
      <c r="T19" s="7" t="n">
        <v>3</v>
      </c>
      <c r="U19" s="6" t="n">
        <f aca="false">ROUND(2*T19^2*IF(D19="Rare Active",6,IF(D19="Workhorse",2,1))+(K19+M19+O19)/2,0)</f>
        <v>21</v>
      </c>
      <c r="V19" s="7" t="n">
        <v>10</v>
      </c>
      <c r="W19" s="6" t="str">
        <f aca="false">IF(COUNTIF(Plants!$A$2:$A$1000,C19)&gt;0,"yes","")</f>
        <v/>
      </c>
    </row>
    <row r="20" customFormat="false" ht="15" hidden="false" customHeight="false" outlineLevel="0" collapsed="false">
      <c r="A20" s="6" t="s">
        <v>166</v>
      </c>
      <c r="B20" s="7" t="s">
        <v>167</v>
      </c>
      <c r="C20" s="7" t="s">
        <v>168</v>
      </c>
      <c r="D20" s="7" t="s">
        <v>45</v>
      </c>
      <c r="E20" s="7" t="s">
        <v>146</v>
      </c>
      <c r="F20" s="7" t="s">
        <v>131</v>
      </c>
      <c r="G20" s="7" t="n">
        <v>10</v>
      </c>
      <c r="H20" s="7" t="n">
        <v>12</v>
      </c>
      <c r="I20" s="7" t="n">
        <v>11</v>
      </c>
      <c r="J20" s="7" t="s">
        <v>48</v>
      </c>
      <c r="K20" s="7" t="n">
        <v>6</v>
      </c>
      <c r="L20" s="7" t="s">
        <v>108</v>
      </c>
      <c r="M20" s="7" t="n">
        <v>3</v>
      </c>
      <c r="N20" s="7"/>
      <c r="O20" s="7"/>
      <c r="P20" s="7" t="n">
        <v>0</v>
      </c>
      <c r="Q20" s="7" t="s">
        <v>169</v>
      </c>
      <c r="R20" s="7" t="s">
        <v>170</v>
      </c>
      <c r="S20" s="7" t="s">
        <v>171</v>
      </c>
      <c r="T20" s="7" t="n">
        <v>2</v>
      </c>
      <c r="U20" s="6" t="n">
        <f aca="false">ROUND(2*T20^2*IF(D20="Rare Active",6,IF(D20="Workhorse",2,1))+(K20+M20+O20)/2,0)</f>
        <v>13</v>
      </c>
      <c r="V20" s="7" t="n">
        <v>10</v>
      </c>
      <c r="W20" s="6" t="str">
        <f aca="false">IF(COUNTIF(Plants!$A$2:$A$1000,C20)&gt;0,"yes","")</f>
        <v>yes</v>
      </c>
    </row>
    <row r="21" customFormat="false" ht="15" hidden="false" customHeight="false" outlineLevel="0" collapsed="false">
      <c r="A21" s="6" t="s">
        <v>172</v>
      </c>
      <c r="B21" s="7" t="s">
        <v>173</v>
      </c>
      <c r="C21" s="7" t="s">
        <v>174</v>
      </c>
      <c r="D21" s="7" t="s">
        <v>45</v>
      </c>
      <c r="E21" s="7" t="s">
        <v>86</v>
      </c>
      <c r="F21" s="7" t="s">
        <v>175</v>
      </c>
      <c r="G21" s="7" t="n">
        <v>9</v>
      </c>
      <c r="H21" s="7" t="n">
        <v>10</v>
      </c>
      <c r="I21" s="7" t="n">
        <v>10</v>
      </c>
      <c r="J21" s="7" t="s">
        <v>48</v>
      </c>
      <c r="K21" s="7" t="n">
        <v>3</v>
      </c>
      <c r="L21" s="7" t="s">
        <v>176</v>
      </c>
      <c r="M21" s="7" t="n">
        <v>1</v>
      </c>
      <c r="N21" s="7"/>
      <c r="O21" s="7"/>
      <c r="P21" s="7" t="n">
        <v>0</v>
      </c>
      <c r="Q21" s="7" t="s">
        <v>177</v>
      </c>
      <c r="R21" s="7" t="s">
        <v>178</v>
      </c>
      <c r="S21" s="7" t="s">
        <v>179</v>
      </c>
      <c r="T21" s="7" t="n">
        <v>3</v>
      </c>
      <c r="U21" s="6" t="n">
        <f aca="false">ROUND(2*T21^2*IF(D21="Rare Active",6,IF(D21="Workhorse",2,1))+(K21+M21+O21)/2,0)</f>
        <v>20</v>
      </c>
      <c r="V21" s="7" t="n">
        <v>300</v>
      </c>
      <c r="W21" s="6" t="str">
        <f aca="false">IF(COUNTIF(Plants!$A$2:$A$1000,C21)&gt;0,"yes","")</f>
        <v>yes</v>
      </c>
    </row>
    <row r="22" customFormat="false" ht="15" hidden="false" customHeight="false" outlineLevel="0" collapsed="false">
      <c r="A22" s="6" t="s">
        <v>180</v>
      </c>
      <c r="B22" s="7" t="s">
        <v>181</v>
      </c>
      <c r="C22" s="7" t="s">
        <v>182</v>
      </c>
      <c r="D22" s="7" t="s">
        <v>77</v>
      </c>
      <c r="E22" s="7" t="s">
        <v>86</v>
      </c>
      <c r="F22" s="7" t="s">
        <v>131</v>
      </c>
      <c r="G22" s="7" t="n">
        <v>9</v>
      </c>
      <c r="H22" s="7" t="n">
        <v>10</v>
      </c>
      <c r="I22" s="7" t="n">
        <v>10</v>
      </c>
      <c r="J22" s="7" t="s">
        <v>108</v>
      </c>
      <c r="K22" s="7" t="n">
        <v>6</v>
      </c>
      <c r="L22" s="7" t="s">
        <v>114</v>
      </c>
      <c r="M22" s="7" t="n">
        <v>6</v>
      </c>
      <c r="N22" s="7"/>
      <c r="O22" s="7"/>
      <c r="P22" s="7" t="n">
        <v>2</v>
      </c>
      <c r="Q22" s="7" t="s">
        <v>183</v>
      </c>
      <c r="R22" s="7" t="s">
        <v>184</v>
      </c>
      <c r="S22" s="7" t="s">
        <v>185</v>
      </c>
      <c r="T22" s="7" t="n">
        <v>3</v>
      </c>
      <c r="U22" s="6" t="n">
        <f aca="false">ROUND(2*T22^2*IF(D22="Rare Active",6,IF(D22="Workhorse",2,1))+(K22+M22+O22)/2,0)</f>
        <v>42</v>
      </c>
      <c r="V22" s="7" t="n">
        <v>10</v>
      </c>
      <c r="W22" s="6" t="str">
        <f aca="false">IF(COUNTIF(Plants!$A$2:$A$1000,C22)&gt;0,"yes","")</f>
        <v>yes</v>
      </c>
    </row>
    <row r="23" customFormat="false" ht="15" hidden="false" customHeight="false" outlineLevel="0" collapsed="false">
      <c r="A23" s="6" t="s">
        <v>186</v>
      </c>
      <c r="B23" s="7" t="s">
        <v>187</v>
      </c>
      <c r="C23" s="7" t="s">
        <v>188</v>
      </c>
      <c r="D23" s="7" t="s">
        <v>45</v>
      </c>
      <c r="E23" s="7" t="s">
        <v>146</v>
      </c>
      <c r="F23" s="7" t="s">
        <v>175</v>
      </c>
      <c r="G23" s="7" t="n">
        <v>9</v>
      </c>
      <c r="H23" s="7" t="n">
        <v>11</v>
      </c>
      <c r="I23" s="7" t="n">
        <v>10</v>
      </c>
      <c r="J23" s="7" t="s">
        <v>108</v>
      </c>
      <c r="K23" s="7" t="n">
        <v>5</v>
      </c>
      <c r="L23" s="7" t="s">
        <v>48</v>
      </c>
      <c r="M23" s="7" t="n">
        <v>4</v>
      </c>
      <c r="N23" s="7"/>
      <c r="O23" s="7"/>
      <c r="P23" s="7" t="n">
        <v>1</v>
      </c>
      <c r="Q23" s="7" t="s">
        <v>152</v>
      </c>
      <c r="R23" s="7" t="s">
        <v>178</v>
      </c>
      <c r="S23" s="7" t="s">
        <v>189</v>
      </c>
      <c r="T23" s="7" t="n">
        <v>2</v>
      </c>
      <c r="U23" s="6" t="n">
        <f aca="false">ROUND(2*T23^2*IF(D23="Rare Active",6,IF(D23="Workhorse",2,1))+(K23+M23+O23)/2,0)</f>
        <v>13</v>
      </c>
      <c r="V23" s="7" t="n">
        <v>300</v>
      </c>
      <c r="W23" s="6" t="str">
        <f aca="false">IF(COUNTIF(Plants!$A$2:$A$1000,C23)&gt;0,"yes","")</f>
        <v>yes</v>
      </c>
    </row>
    <row r="24" customFormat="false" ht="15" hidden="false" customHeight="false" outlineLevel="0" collapsed="false">
      <c r="A24" s="6" t="s">
        <v>190</v>
      </c>
      <c r="B24" s="7" t="s">
        <v>191</v>
      </c>
      <c r="C24" s="7" t="s">
        <v>188</v>
      </c>
      <c r="D24" s="7" t="s">
        <v>77</v>
      </c>
      <c r="E24" s="7" t="s">
        <v>146</v>
      </c>
      <c r="F24" s="7" t="s">
        <v>192</v>
      </c>
      <c r="G24" s="7" t="n">
        <v>3</v>
      </c>
      <c r="H24" s="7" t="n">
        <v>5</v>
      </c>
      <c r="I24" s="7" t="n">
        <v>0</v>
      </c>
      <c r="J24" s="7" t="s">
        <v>108</v>
      </c>
      <c r="K24" s="7" t="n">
        <v>8</v>
      </c>
      <c r="L24" s="7"/>
      <c r="M24" s="7"/>
      <c r="N24" s="7"/>
      <c r="O24" s="7"/>
      <c r="P24" s="7" t="n">
        <v>0</v>
      </c>
      <c r="Q24" s="7" t="s">
        <v>193</v>
      </c>
      <c r="R24" s="7" t="s">
        <v>194</v>
      </c>
      <c r="S24" s="7" t="s">
        <v>195</v>
      </c>
      <c r="T24" s="7" t="n">
        <v>3</v>
      </c>
      <c r="U24" s="6" t="n">
        <f aca="false">ROUND(2*T24^2*IF(D24="Rare Active",6,IF(D24="Workhorse",2,1))+(K24+M24+O24)/2,0)</f>
        <v>40</v>
      </c>
      <c r="V24" s="7" t="n">
        <v>240</v>
      </c>
      <c r="W24" s="6" t="str">
        <f aca="false">IF(COUNTIF(Plants!$A$2:$A$1000,C24)&gt;0,"yes","")</f>
        <v>yes</v>
      </c>
    </row>
    <row r="25" customFormat="false" ht="15" hidden="false" customHeight="false" outlineLevel="0" collapsed="false">
      <c r="A25" s="6" t="s">
        <v>196</v>
      </c>
      <c r="B25" s="7" t="s">
        <v>197</v>
      </c>
      <c r="C25" s="7" t="s">
        <v>174</v>
      </c>
      <c r="D25" s="7" t="s">
        <v>45</v>
      </c>
      <c r="E25" s="7" t="s">
        <v>86</v>
      </c>
      <c r="F25" s="7" t="s">
        <v>192</v>
      </c>
      <c r="G25" s="7" t="n">
        <v>1</v>
      </c>
      <c r="H25" s="7" t="n">
        <v>12</v>
      </c>
      <c r="I25" s="7" t="n">
        <v>0</v>
      </c>
      <c r="J25" s="7" t="s">
        <v>108</v>
      </c>
      <c r="K25" s="7" t="n">
        <v>3</v>
      </c>
      <c r="L25" s="7" t="s">
        <v>66</v>
      </c>
      <c r="M25" s="7" t="n">
        <v>2</v>
      </c>
      <c r="N25" s="7" t="s">
        <v>48</v>
      </c>
      <c r="O25" s="7" t="n">
        <v>2</v>
      </c>
      <c r="P25" s="7" t="n">
        <v>0</v>
      </c>
      <c r="Q25" s="7" t="s">
        <v>198</v>
      </c>
      <c r="R25" s="7" t="s">
        <v>199</v>
      </c>
      <c r="S25" s="7" t="s">
        <v>200</v>
      </c>
      <c r="T25" s="7" t="n">
        <v>3</v>
      </c>
      <c r="U25" s="6" t="n">
        <f aca="false">ROUND(2*T25^2*IF(D25="Rare Active",6,IF(D25="Workhorse",2,1))+(K25+M25+O25)/2,0)</f>
        <v>22</v>
      </c>
      <c r="V25" s="7" t="n">
        <v>240</v>
      </c>
      <c r="W25" s="6" t="str">
        <f aca="false">IF(COUNTIF(Plants!$A$2:$A$1000,C25)&gt;0,"yes","")</f>
        <v>yes</v>
      </c>
    </row>
    <row r="26" customFormat="false" ht="15" hidden="false" customHeight="false" outlineLevel="0" collapsed="false">
      <c r="A26" s="6" t="s">
        <v>201</v>
      </c>
      <c r="B26" s="7" t="s">
        <v>202</v>
      </c>
      <c r="C26" s="7" t="s">
        <v>203</v>
      </c>
      <c r="D26" s="7" t="s">
        <v>45</v>
      </c>
      <c r="E26" s="7" t="s">
        <v>86</v>
      </c>
      <c r="F26" s="7" t="s">
        <v>204</v>
      </c>
      <c r="G26" s="7" t="n">
        <v>2</v>
      </c>
      <c r="H26" s="7" t="n">
        <v>3</v>
      </c>
      <c r="I26" s="7" t="n">
        <v>0</v>
      </c>
      <c r="J26" s="7" t="s">
        <v>48</v>
      </c>
      <c r="K26" s="7" t="n">
        <v>6</v>
      </c>
      <c r="L26" s="7"/>
      <c r="M26" s="7"/>
      <c r="N26" s="7"/>
      <c r="O26" s="7"/>
      <c r="P26" s="7" t="n">
        <v>0</v>
      </c>
      <c r="Q26" s="7" t="s">
        <v>205</v>
      </c>
      <c r="R26" s="7" t="s">
        <v>102</v>
      </c>
      <c r="S26" s="7" t="s">
        <v>206</v>
      </c>
      <c r="T26" s="7" t="n">
        <v>3</v>
      </c>
      <c r="U26" s="6" t="n">
        <f aca="false">ROUND(2*T26^2*IF(D26="Rare Active",6,IF(D26="Workhorse",2,1))+(K26+M26+O26)/2,0)</f>
        <v>21</v>
      </c>
      <c r="V26" s="7" t="n">
        <v>7</v>
      </c>
      <c r="W26" s="6" t="str">
        <f aca="false">IF(COUNTIF(Plants!$A$2:$A$1000,C26)&gt;0,"yes","")</f>
        <v>yes</v>
      </c>
    </row>
    <row r="27" customFormat="false" ht="15" hidden="false" customHeight="false" outlineLevel="0" collapsed="false">
      <c r="A27" s="6" t="s">
        <v>207</v>
      </c>
      <c r="B27" s="7" t="s">
        <v>208</v>
      </c>
      <c r="C27" s="7" t="s">
        <v>209</v>
      </c>
      <c r="D27" s="7" t="s">
        <v>45</v>
      </c>
      <c r="E27" s="7" t="s">
        <v>139</v>
      </c>
      <c r="F27" s="7" t="s">
        <v>204</v>
      </c>
      <c r="G27" s="7" t="n">
        <v>2</v>
      </c>
      <c r="H27" s="7" t="n">
        <v>3</v>
      </c>
      <c r="I27" s="7" t="n">
        <v>0</v>
      </c>
      <c r="J27" s="7" t="s">
        <v>48</v>
      </c>
      <c r="K27" s="7" t="n">
        <v>4</v>
      </c>
      <c r="L27" s="7"/>
      <c r="M27" s="7"/>
      <c r="N27" s="7"/>
      <c r="O27" s="7"/>
      <c r="P27" s="7" t="n">
        <v>0</v>
      </c>
      <c r="Q27" s="7" t="s">
        <v>60</v>
      </c>
      <c r="R27" s="7" t="s">
        <v>102</v>
      </c>
      <c r="S27" s="7" t="s">
        <v>210</v>
      </c>
      <c r="T27" s="7" t="n">
        <v>2</v>
      </c>
      <c r="U27" s="6" t="n">
        <f aca="false">ROUND(2*T27^2*IF(D27="Rare Active",6,IF(D27="Workhorse",2,1))+(K27+M27+O27)/2,0)</f>
        <v>10</v>
      </c>
      <c r="V27" s="7" t="n">
        <v>7</v>
      </c>
      <c r="W27" s="6" t="str">
        <f aca="false">IF(COUNTIF(Plants!$A$2:$A$1000,C27)&gt;0,"yes","")</f>
        <v/>
      </c>
    </row>
    <row r="28" customFormat="false" ht="15" hidden="false" customHeight="false" outlineLevel="0" collapsed="false">
      <c r="A28" s="6" t="s">
        <v>211</v>
      </c>
      <c r="B28" s="7" t="s">
        <v>212</v>
      </c>
      <c r="C28" s="7" t="s">
        <v>213</v>
      </c>
      <c r="D28" s="7" t="s">
        <v>45</v>
      </c>
      <c r="E28" s="7" t="s">
        <v>214</v>
      </c>
      <c r="F28" s="7" t="s">
        <v>215</v>
      </c>
      <c r="G28" s="7" t="n">
        <v>10</v>
      </c>
      <c r="H28" s="7" t="n">
        <v>3</v>
      </c>
      <c r="I28" s="7" t="n">
        <v>8</v>
      </c>
      <c r="J28" s="7" t="s">
        <v>48</v>
      </c>
      <c r="K28" s="7" t="n">
        <v>5</v>
      </c>
      <c r="L28" s="7"/>
      <c r="M28" s="7"/>
      <c r="N28" s="7"/>
      <c r="O28" s="7"/>
      <c r="P28" s="7" t="n">
        <v>0</v>
      </c>
      <c r="Q28" s="7" t="s">
        <v>216</v>
      </c>
      <c r="R28" s="7" t="s">
        <v>217</v>
      </c>
      <c r="S28" s="7" t="s">
        <v>218</v>
      </c>
      <c r="T28" s="7" t="n">
        <v>2</v>
      </c>
      <c r="U28" s="6" t="n">
        <f aca="false">ROUND(2*T28^2*IF(D28="Rare Active",6,IF(D28="Workhorse",2,1))+(K28+M28+O28)/2,0)</f>
        <v>11</v>
      </c>
      <c r="V28" s="7" t="n">
        <v>120</v>
      </c>
      <c r="W28" s="6" t="str">
        <f aca="false">IF(COUNTIF(Plants!$A$2:$A$1000,C28)&gt;0,"yes","")</f>
        <v/>
      </c>
    </row>
    <row r="29" customFormat="false" ht="15" hidden="false" customHeight="false" outlineLevel="0" collapsed="false">
      <c r="A29" s="6" t="s">
        <v>219</v>
      </c>
      <c r="B29" s="7" t="s">
        <v>220</v>
      </c>
      <c r="C29" s="7" t="s">
        <v>213</v>
      </c>
      <c r="D29" s="7" t="s">
        <v>45</v>
      </c>
      <c r="E29" s="7" t="s">
        <v>214</v>
      </c>
      <c r="F29" s="7" t="s">
        <v>120</v>
      </c>
      <c r="G29" s="7" t="n">
        <v>6</v>
      </c>
      <c r="H29" s="7" t="n">
        <v>6</v>
      </c>
      <c r="I29" s="7" t="n">
        <v>0</v>
      </c>
      <c r="J29" s="7" t="s">
        <v>48</v>
      </c>
      <c r="K29" s="7" t="n">
        <v>3</v>
      </c>
      <c r="L29" s="7" t="s">
        <v>65</v>
      </c>
      <c r="M29" s="7" t="n">
        <v>1</v>
      </c>
      <c r="N29" s="7"/>
      <c r="O29" s="7"/>
      <c r="P29" s="7" t="n">
        <v>0</v>
      </c>
      <c r="Q29" s="7" t="s">
        <v>221</v>
      </c>
      <c r="R29" s="7" t="s">
        <v>60</v>
      </c>
      <c r="S29" s="7" t="s">
        <v>222</v>
      </c>
      <c r="T29" s="7" t="n">
        <v>2</v>
      </c>
      <c r="U29" s="6" t="n">
        <f aca="false">ROUND(2*T29^2*IF(D29="Rare Active",6,IF(D29="Workhorse",2,1))+(K29+M29+O29)/2,0)</f>
        <v>10</v>
      </c>
      <c r="V29" s="7" t="n">
        <v>30</v>
      </c>
      <c r="W29" s="6" t="str">
        <f aca="false">IF(COUNTIF(Plants!$A$2:$A$1000,C29)&gt;0,"yes","")</f>
        <v/>
      </c>
    </row>
    <row r="30" customFormat="false" ht="15" hidden="false" customHeight="false" outlineLevel="0" collapsed="false">
      <c r="A30" s="6" t="s">
        <v>223</v>
      </c>
      <c r="B30" s="7" t="s">
        <v>224</v>
      </c>
      <c r="C30" s="7" t="s">
        <v>225</v>
      </c>
      <c r="D30" s="7" t="s">
        <v>45</v>
      </c>
      <c r="E30" s="7" t="s">
        <v>214</v>
      </c>
      <c r="F30" s="7" t="s">
        <v>215</v>
      </c>
      <c r="G30" s="7" t="n">
        <v>9</v>
      </c>
      <c r="H30" s="7" t="n">
        <v>11</v>
      </c>
      <c r="I30" s="7" t="n">
        <v>9</v>
      </c>
      <c r="J30" s="7" t="s">
        <v>48</v>
      </c>
      <c r="K30" s="7" t="n">
        <v>5</v>
      </c>
      <c r="L30" s="7"/>
      <c r="M30" s="7"/>
      <c r="N30" s="7"/>
      <c r="O30" s="7"/>
      <c r="P30" s="7" t="n">
        <v>0</v>
      </c>
      <c r="Q30" s="7" t="s">
        <v>226</v>
      </c>
      <c r="R30" s="7" t="s">
        <v>217</v>
      </c>
      <c r="S30" s="7" t="s">
        <v>227</v>
      </c>
      <c r="T30" s="7" t="n">
        <v>3</v>
      </c>
      <c r="U30" s="6" t="n">
        <f aca="false">ROUND(2*T30^2*IF(D30="Rare Active",6,IF(D30="Workhorse",2,1))+(K30+M30+O30)/2,0)</f>
        <v>21</v>
      </c>
      <c r="V30" s="7" t="n">
        <v>120</v>
      </c>
      <c r="W30" s="6" t="str">
        <f aca="false">IF(COUNTIF(Plants!$A$2:$A$1000,C30)&gt;0,"yes","")</f>
        <v/>
      </c>
    </row>
    <row r="31" customFormat="false" ht="15" hidden="false" customHeight="false" outlineLevel="0" collapsed="false">
      <c r="A31" s="6" t="s">
        <v>228</v>
      </c>
      <c r="B31" s="7" t="s">
        <v>229</v>
      </c>
      <c r="C31" s="7" t="s">
        <v>230</v>
      </c>
      <c r="D31" s="7" t="s">
        <v>45</v>
      </c>
      <c r="E31" s="7" t="s">
        <v>214</v>
      </c>
      <c r="F31" s="7" t="s">
        <v>175</v>
      </c>
      <c r="G31" s="7" t="n">
        <v>8</v>
      </c>
      <c r="H31" s="7" t="n">
        <v>9</v>
      </c>
      <c r="I31" s="7" t="n">
        <v>9</v>
      </c>
      <c r="J31" s="7" t="s">
        <v>48</v>
      </c>
      <c r="K31" s="7" t="n">
        <v>4</v>
      </c>
      <c r="L31" s="7"/>
      <c r="M31" s="7"/>
      <c r="N31" s="7"/>
      <c r="O31" s="7"/>
      <c r="P31" s="7" t="n">
        <v>0</v>
      </c>
      <c r="Q31" s="7" t="s">
        <v>178</v>
      </c>
      <c r="R31" s="7" t="s">
        <v>231</v>
      </c>
      <c r="S31" s="7" t="s">
        <v>232</v>
      </c>
      <c r="T31" s="7" t="n">
        <v>4</v>
      </c>
      <c r="U31" s="6" t="n">
        <f aca="false">ROUND(2*T31^2*IF(D31="Rare Active",6,IF(D31="Workhorse",2,1))+(K31+M31+O31)/2,0)</f>
        <v>34</v>
      </c>
      <c r="V31" s="7" t="n">
        <v>300</v>
      </c>
      <c r="W31" s="6" t="str">
        <f aca="false">IF(COUNTIF(Plants!$A$2:$A$1000,C31)&gt;0,"yes","")</f>
        <v/>
      </c>
    </row>
    <row r="32" customFormat="false" ht="15" hidden="false" customHeight="false" outlineLevel="0" collapsed="false">
      <c r="A32" s="6" t="s">
        <v>233</v>
      </c>
      <c r="B32" s="7" t="s">
        <v>234</v>
      </c>
      <c r="C32" s="7" t="s">
        <v>235</v>
      </c>
      <c r="D32" s="7" t="s">
        <v>45</v>
      </c>
      <c r="E32" s="7" t="s">
        <v>214</v>
      </c>
      <c r="F32" s="7" t="s">
        <v>175</v>
      </c>
      <c r="G32" s="7" t="n">
        <v>8</v>
      </c>
      <c r="H32" s="7" t="n">
        <v>10</v>
      </c>
      <c r="I32" s="7" t="n">
        <v>9</v>
      </c>
      <c r="J32" s="7" t="s">
        <v>48</v>
      </c>
      <c r="K32" s="7" t="n">
        <v>3</v>
      </c>
      <c r="L32" s="7"/>
      <c r="M32" s="7"/>
      <c r="N32" s="7"/>
      <c r="O32" s="7"/>
      <c r="P32" s="7" t="n">
        <v>0</v>
      </c>
      <c r="Q32" s="7" t="s">
        <v>178</v>
      </c>
      <c r="R32" s="7" t="s">
        <v>60</v>
      </c>
      <c r="S32" s="7" t="s">
        <v>69</v>
      </c>
      <c r="T32" s="7" t="n">
        <v>3</v>
      </c>
      <c r="U32" s="6" t="n">
        <f aca="false">ROUND(2*T32^2*IF(D32="Rare Active",6,IF(D32="Workhorse",2,1))+(K32+M32+O32)/2,0)</f>
        <v>20</v>
      </c>
      <c r="V32" s="7" t="n">
        <v>300</v>
      </c>
      <c r="W32" s="6" t="str">
        <f aca="false">IF(COUNTIF(Plants!$A$2:$A$1000,C32)&gt;0,"yes","")</f>
        <v/>
      </c>
    </row>
    <row r="33" customFormat="false" ht="15" hidden="false" customHeight="false" outlineLevel="0" collapsed="false">
      <c r="A33" s="6" t="s">
        <v>236</v>
      </c>
      <c r="B33" s="7" t="s">
        <v>237</v>
      </c>
      <c r="C33" s="7" t="s">
        <v>238</v>
      </c>
      <c r="D33" s="7" t="s">
        <v>77</v>
      </c>
      <c r="E33" s="7" t="s">
        <v>214</v>
      </c>
      <c r="F33" s="7" t="s">
        <v>215</v>
      </c>
      <c r="G33" s="7" t="n">
        <v>4</v>
      </c>
      <c r="H33" s="7" t="n">
        <v>10</v>
      </c>
      <c r="I33" s="7" t="n">
        <v>0</v>
      </c>
      <c r="J33" s="7" t="s">
        <v>66</v>
      </c>
      <c r="K33" s="7" t="n">
        <v>6</v>
      </c>
      <c r="L33" s="7" t="s">
        <v>79</v>
      </c>
      <c r="M33" s="7" t="n">
        <v>4</v>
      </c>
      <c r="N33" s="7"/>
      <c r="O33" s="7"/>
      <c r="P33" s="7" t="n">
        <v>3</v>
      </c>
      <c r="Q33" s="7" t="s">
        <v>239</v>
      </c>
      <c r="R33" s="7" t="s">
        <v>240</v>
      </c>
      <c r="S33" s="7" t="s">
        <v>241</v>
      </c>
      <c r="T33" s="7" t="n">
        <v>3</v>
      </c>
      <c r="U33" s="6" t="n">
        <f aca="false">ROUND(2*T33^2*IF(D33="Rare Active",6,IF(D33="Workhorse",2,1))+(K33+M33+O33)/2,0)</f>
        <v>41</v>
      </c>
      <c r="V33" s="7" t="n">
        <v>120</v>
      </c>
      <c r="W33" s="6" t="str">
        <f aca="false">IF(COUNTIF(Plants!$A$2:$A$1000,C33)&gt;0,"yes","")</f>
        <v/>
      </c>
    </row>
    <row r="34" customFormat="false" ht="15" hidden="false" customHeight="false" outlineLevel="0" collapsed="false">
      <c r="A34" s="6" t="s">
        <v>242</v>
      </c>
      <c r="B34" s="7" t="s">
        <v>243</v>
      </c>
      <c r="C34" s="7" t="s">
        <v>244</v>
      </c>
      <c r="D34" s="7" t="s">
        <v>45</v>
      </c>
      <c r="E34" s="7" t="s">
        <v>214</v>
      </c>
      <c r="F34" s="7" t="s">
        <v>56</v>
      </c>
      <c r="G34" s="7" t="n">
        <v>5</v>
      </c>
      <c r="H34" s="7" t="n">
        <v>9</v>
      </c>
      <c r="I34" s="7" t="n">
        <v>0</v>
      </c>
      <c r="J34" s="7" t="s">
        <v>48</v>
      </c>
      <c r="K34" s="7" t="n">
        <v>1</v>
      </c>
      <c r="L34" s="7" t="s">
        <v>57</v>
      </c>
      <c r="M34" s="7" t="n">
        <v>1</v>
      </c>
      <c r="N34" s="7"/>
      <c r="O34" s="7"/>
      <c r="P34" s="7" t="n">
        <v>0</v>
      </c>
      <c r="Q34" s="7" t="s">
        <v>245</v>
      </c>
      <c r="R34" s="7" t="s">
        <v>246</v>
      </c>
      <c r="S34" s="7" t="s">
        <v>247</v>
      </c>
      <c r="T34" s="7" t="n">
        <v>1</v>
      </c>
      <c r="U34" s="6" t="n">
        <f aca="false">ROUND(2*T34^2*IF(D34="Rare Active",6,IF(D34="Workhorse",2,1))+(K34+M34+O34)/2,0)</f>
        <v>3</v>
      </c>
      <c r="V34" s="7" t="n">
        <v>40</v>
      </c>
      <c r="W34" s="6" t="str">
        <f aca="false">IF(COUNTIF(Plants!$A$2:$A$1000,C34)&gt;0,"yes","")</f>
        <v/>
      </c>
    </row>
    <row r="35" customFormat="false" ht="15" hidden="false" customHeight="false" outlineLevel="0" collapsed="false">
      <c r="A35" s="6" t="s">
        <v>248</v>
      </c>
      <c r="B35" s="7" t="s">
        <v>249</v>
      </c>
      <c r="C35" s="7" t="s">
        <v>250</v>
      </c>
      <c r="D35" s="7" t="s">
        <v>45</v>
      </c>
      <c r="E35" s="7" t="s">
        <v>214</v>
      </c>
      <c r="F35" s="7" t="s">
        <v>78</v>
      </c>
      <c r="G35" s="7" t="n">
        <v>3</v>
      </c>
      <c r="H35" s="7" t="n">
        <v>10</v>
      </c>
      <c r="I35" s="7" t="n">
        <v>10</v>
      </c>
      <c r="J35" s="7" t="s">
        <v>48</v>
      </c>
      <c r="K35" s="7" t="n">
        <v>3</v>
      </c>
      <c r="L35" s="7"/>
      <c r="M35" s="7"/>
      <c r="N35" s="7"/>
      <c r="O35" s="7"/>
      <c r="P35" s="7" t="n">
        <v>0</v>
      </c>
      <c r="Q35" s="7" t="s">
        <v>251</v>
      </c>
      <c r="R35" s="7" t="s">
        <v>67</v>
      </c>
      <c r="S35" s="7" t="s">
        <v>252</v>
      </c>
      <c r="T35" s="7" t="n">
        <v>1</v>
      </c>
      <c r="U35" s="6" t="n">
        <f aca="false">ROUND(2*T35^2*IF(D35="Rare Active",6,IF(D35="Workhorse",2,1))+(K35+M35+O35)/2,0)</f>
        <v>4</v>
      </c>
      <c r="V35" s="7" t="n">
        <v>120</v>
      </c>
      <c r="W35" s="6" t="str">
        <f aca="false">IF(COUNTIF(Plants!$A$2:$A$1000,C35)&gt;0,"yes","")</f>
        <v/>
      </c>
    </row>
    <row r="36" customFormat="false" ht="15" hidden="false" customHeight="false" outlineLevel="0" collapsed="false">
      <c r="A36" s="6" t="s">
        <v>253</v>
      </c>
      <c r="B36" s="7" t="s">
        <v>254</v>
      </c>
      <c r="C36" s="7" t="s">
        <v>255</v>
      </c>
      <c r="D36" s="7" t="s">
        <v>45</v>
      </c>
      <c r="E36" s="7" t="s">
        <v>139</v>
      </c>
      <c r="F36" s="7" t="s">
        <v>56</v>
      </c>
      <c r="G36" s="7" t="n">
        <v>4</v>
      </c>
      <c r="H36" s="7" t="n">
        <v>7</v>
      </c>
      <c r="I36" s="7" t="n">
        <v>0</v>
      </c>
      <c r="J36" s="7" t="s">
        <v>49</v>
      </c>
      <c r="K36" s="7" t="n">
        <v>1</v>
      </c>
      <c r="L36" s="7" t="s">
        <v>58</v>
      </c>
      <c r="M36" s="7" t="n">
        <v>1</v>
      </c>
      <c r="N36" s="7"/>
      <c r="O36" s="7"/>
      <c r="P36" s="7" t="n">
        <v>2</v>
      </c>
      <c r="Q36" s="7" t="s">
        <v>256</v>
      </c>
      <c r="R36" s="7" t="s">
        <v>67</v>
      </c>
      <c r="S36" s="7" t="s">
        <v>257</v>
      </c>
      <c r="T36" s="7" t="n">
        <v>2</v>
      </c>
      <c r="U36" s="6" t="n">
        <f aca="false">ROUND(2*T36^2*IF(D36="Rare Active",6,IF(D36="Workhorse",2,1))+(K36+M36+O36)/2,0)</f>
        <v>9</v>
      </c>
      <c r="V36" s="7" t="n">
        <v>40</v>
      </c>
      <c r="W36" s="6" t="str">
        <f aca="false">IF(COUNTIF(Plants!$A$2:$A$1000,C36)&gt;0,"yes","")</f>
        <v>yes</v>
      </c>
    </row>
    <row r="37" customFormat="false" ht="15" hidden="false" customHeight="false" outlineLevel="0" collapsed="false">
      <c r="A37" s="6" t="s">
        <v>258</v>
      </c>
      <c r="B37" s="7" t="s">
        <v>259</v>
      </c>
      <c r="C37" s="7" t="s">
        <v>260</v>
      </c>
      <c r="D37" s="7" t="s">
        <v>45</v>
      </c>
      <c r="E37" s="7" t="s">
        <v>139</v>
      </c>
      <c r="F37" s="7" t="s">
        <v>56</v>
      </c>
      <c r="G37" s="7" t="n">
        <v>1</v>
      </c>
      <c r="H37" s="7" t="n">
        <v>12</v>
      </c>
      <c r="I37" s="7" t="n">
        <v>0</v>
      </c>
      <c r="J37" s="7" t="s">
        <v>49</v>
      </c>
      <c r="K37" s="7" t="n">
        <v>1</v>
      </c>
      <c r="L37" s="7"/>
      <c r="M37" s="7"/>
      <c r="N37" s="7"/>
      <c r="O37" s="7"/>
      <c r="P37" s="7" t="n">
        <v>2</v>
      </c>
      <c r="Q37" s="7" t="s">
        <v>256</v>
      </c>
      <c r="R37" s="7" t="s">
        <v>102</v>
      </c>
      <c r="S37" s="7" t="s">
        <v>261</v>
      </c>
      <c r="T37" s="7" t="n">
        <v>2</v>
      </c>
      <c r="U37" s="6" t="n">
        <f aca="false">ROUND(2*T37^2*IF(D37="Rare Active",6,IF(D37="Workhorse",2,1))+(K37+M37+O37)/2,0)</f>
        <v>9</v>
      </c>
      <c r="V37" s="7" t="n">
        <v>40</v>
      </c>
      <c r="W37" s="6" t="str">
        <f aca="false">IF(COUNTIF(Plants!$A$2:$A$1000,C37)&gt;0,"yes","")</f>
        <v/>
      </c>
    </row>
    <row r="38" customFormat="false" ht="15" hidden="false" customHeight="false" outlineLevel="0" collapsed="false">
      <c r="A38" s="6" t="s">
        <v>262</v>
      </c>
      <c r="B38" s="7" t="s">
        <v>263</v>
      </c>
      <c r="C38" s="7" t="s">
        <v>264</v>
      </c>
      <c r="D38" s="7" t="s">
        <v>77</v>
      </c>
      <c r="E38" s="7" t="s">
        <v>93</v>
      </c>
      <c r="F38" s="7" t="s">
        <v>56</v>
      </c>
      <c r="G38" s="7" t="n">
        <v>6</v>
      </c>
      <c r="H38" s="7" t="n">
        <v>9</v>
      </c>
      <c r="I38" s="7" t="n">
        <v>9</v>
      </c>
      <c r="J38" s="7" t="s">
        <v>58</v>
      </c>
      <c r="K38" s="7" t="n">
        <v>3</v>
      </c>
      <c r="L38" s="7" t="s">
        <v>57</v>
      </c>
      <c r="M38" s="7" t="n">
        <v>3</v>
      </c>
      <c r="N38" s="7"/>
      <c r="O38" s="7"/>
      <c r="P38" s="7" t="n">
        <v>0</v>
      </c>
      <c r="Q38" s="7" t="s">
        <v>265</v>
      </c>
      <c r="R38" s="7" t="s">
        <v>95</v>
      </c>
      <c r="S38" s="7" t="s">
        <v>266</v>
      </c>
      <c r="T38" s="7" t="n">
        <v>2</v>
      </c>
      <c r="U38" s="6" t="n">
        <f aca="false">ROUND(2*T38^2*IF(D38="Rare Active",6,IF(D38="Workhorse",2,1))+(K38+M38+O38)/2,0)</f>
        <v>19</v>
      </c>
      <c r="V38" s="7" t="n">
        <v>40</v>
      </c>
      <c r="W38" s="6" t="str">
        <f aca="false">IF(COUNTIF(Plants!$A$2:$A$1000,C38)&gt;0,"yes","")</f>
        <v>yes</v>
      </c>
    </row>
    <row r="39" customFormat="false" ht="15" hidden="false" customHeight="false" outlineLevel="0" collapsed="false">
      <c r="A39" s="6" t="s">
        <v>267</v>
      </c>
      <c r="B39" s="7" t="s">
        <v>268</v>
      </c>
      <c r="C39" s="7" t="s">
        <v>269</v>
      </c>
      <c r="D39" s="7" t="s">
        <v>77</v>
      </c>
      <c r="E39" s="7" t="s">
        <v>93</v>
      </c>
      <c r="F39" s="7" t="s">
        <v>47</v>
      </c>
      <c r="G39" s="7" t="n">
        <v>4</v>
      </c>
      <c r="H39" s="7" t="n">
        <v>6</v>
      </c>
      <c r="I39" s="7" t="n">
        <v>8</v>
      </c>
      <c r="J39" s="7" t="s">
        <v>65</v>
      </c>
      <c r="K39" s="7" t="n">
        <v>3</v>
      </c>
      <c r="L39" s="7" t="s">
        <v>49</v>
      </c>
      <c r="M39" s="7" t="n">
        <v>3</v>
      </c>
      <c r="N39" s="7" t="s">
        <v>48</v>
      </c>
      <c r="O39" s="7" t="n">
        <v>2</v>
      </c>
      <c r="P39" s="7" t="n">
        <v>0</v>
      </c>
      <c r="Q39" s="7" t="s">
        <v>270</v>
      </c>
      <c r="R39" s="7" t="s">
        <v>271</v>
      </c>
      <c r="S39" s="7" t="s">
        <v>272</v>
      </c>
      <c r="T39" s="7" t="n">
        <v>2</v>
      </c>
      <c r="U39" s="6" t="n">
        <f aca="false">ROUND(2*T39^2*IF(D39="Rare Active",6,IF(D39="Workhorse",2,1))+(K39+M39+O39)/2,0)</f>
        <v>20</v>
      </c>
      <c r="V39" s="7" t="n">
        <v>45</v>
      </c>
      <c r="W39" s="6" t="str">
        <f aca="false">IF(COUNTIF(Plants!$A$2:$A$1000,C39)&gt;0,"yes","")</f>
        <v>yes</v>
      </c>
    </row>
    <row r="40" customFormat="false" ht="15" hidden="false" customHeight="false" outlineLevel="0" collapsed="false">
      <c r="A40" s="6" t="s">
        <v>273</v>
      </c>
      <c r="B40" s="7" t="s">
        <v>274</v>
      </c>
      <c r="C40" s="7" t="s">
        <v>275</v>
      </c>
      <c r="D40" s="7" t="s">
        <v>45</v>
      </c>
      <c r="E40" s="7" t="s">
        <v>93</v>
      </c>
      <c r="F40" s="7" t="s">
        <v>47</v>
      </c>
      <c r="G40" s="7" t="n">
        <v>4</v>
      </c>
      <c r="H40" s="7" t="n">
        <v>6</v>
      </c>
      <c r="I40" s="7" t="n">
        <v>8</v>
      </c>
      <c r="J40" s="7" t="s">
        <v>49</v>
      </c>
      <c r="K40" s="7" t="n">
        <v>2</v>
      </c>
      <c r="L40" s="7" t="s">
        <v>65</v>
      </c>
      <c r="M40" s="7" t="n">
        <v>1</v>
      </c>
      <c r="N40" s="7"/>
      <c r="O40" s="7"/>
      <c r="P40" s="7" t="n">
        <v>0</v>
      </c>
      <c r="Q40" s="7" t="s">
        <v>95</v>
      </c>
      <c r="R40" s="7" t="s">
        <v>60</v>
      </c>
      <c r="S40" s="7" t="s">
        <v>276</v>
      </c>
      <c r="T40" s="7" t="n">
        <v>2</v>
      </c>
      <c r="U40" s="6" t="n">
        <f aca="false">ROUND(2*T40^2*IF(D40="Rare Active",6,IF(D40="Workhorse",2,1))+(K40+M40+O40)/2,0)</f>
        <v>10</v>
      </c>
      <c r="V40" s="7" t="n">
        <v>45</v>
      </c>
      <c r="W40" s="6" t="str">
        <f aca="false">IF(COUNTIF(Plants!$A$2:$A$1000,C40)&gt;0,"yes","")</f>
        <v/>
      </c>
    </row>
    <row r="41" customFormat="false" ht="15" hidden="false" customHeight="false" outlineLevel="0" collapsed="false">
      <c r="A41" s="6" t="s">
        <v>277</v>
      </c>
      <c r="B41" s="7" t="s">
        <v>278</v>
      </c>
      <c r="C41" s="7" t="s">
        <v>279</v>
      </c>
      <c r="D41" s="7" t="s">
        <v>77</v>
      </c>
      <c r="E41" s="7" t="s">
        <v>46</v>
      </c>
      <c r="F41" s="7" t="s">
        <v>78</v>
      </c>
      <c r="G41" s="7" t="n">
        <v>9</v>
      </c>
      <c r="H41" s="7" t="n">
        <v>11</v>
      </c>
      <c r="I41" s="7" t="n">
        <v>9</v>
      </c>
      <c r="J41" s="7" t="s">
        <v>48</v>
      </c>
      <c r="K41" s="7" t="n">
        <v>4</v>
      </c>
      <c r="L41" s="7" t="s">
        <v>79</v>
      </c>
      <c r="M41" s="7" t="n">
        <v>3</v>
      </c>
      <c r="N41" s="7"/>
      <c r="O41" s="7"/>
      <c r="P41" s="7" t="n">
        <v>0</v>
      </c>
      <c r="Q41" s="7" t="s">
        <v>280</v>
      </c>
      <c r="R41" s="7" t="s">
        <v>281</v>
      </c>
      <c r="S41" s="7" t="s">
        <v>282</v>
      </c>
      <c r="T41" s="7" t="n">
        <v>2</v>
      </c>
      <c r="U41" s="6" t="n">
        <f aca="false">ROUND(2*T41^2*IF(D41="Rare Active",6,IF(D41="Workhorse",2,1))+(K41+M41+O41)/2,0)</f>
        <v>20</v>
      </c>
      <c r="V41" s="7" t="n">
        <v>120</v>
      </c>
      <c r="W41" s="6" t="str">
        <f aca="false">IF(COUNTIF(Plants!$A$2:$A$1000,C41)&gt;0,"yes","")</f>
        <v>yes</v>
      </c>
    </row>
    <row r="42" customFormat="false" ht="15" hidden="false" customHeight="false" outlineLevel="0" collapsed="false">
      <c r="A42" s="6" t="s">
        <v>283</v>
      </c>
      <c r="B42" s="7" t="s">
        <v>284</v>
      </c>
      <c r="C42" s="7" t="s">
        <v>112</v>
      </c>
      <c r="D42" s="7" t="s">
        <v>45</v>
      </c>
      <c r="E42" s="7" t="s">
        <v>46</v>
      </c>
      <c r="F42" s="7" t="s">
        <v>175</v>
      </c>
      <c r="G42" s="7" t="n">
        <v>8</v>
      </c>
      <c r="H42" s="7" t="n">
        <v>10</v>
      </c>
      <c r="I42" s="7" t="n">
        <v>0</v>
      </c>
      <c r="J42" s="7" t="s">
        <v>108</v>
      </c>
      <c r="K42" s="7" t="n">
        <v>3</v>
      </c>
      <c r="L42" s="7" t="s">
        <v>114</v>
      </c>
      <c r="M42" s="7" t="n">
        <v>2</v>
      </c>
      <c r="N42" s="7"/>
      <c r="O42" s="7"/>
      <c r="P42" s="7" t="n">
        <v>1</v>
      </c>
      <c r="Q42" s="7" t="s">
        <v>152</v>
      </c>
      <c r="R42" s="7" t="s">
        <v>60</v>
      </c>
      <c r="S42" s="7" t="s">
        <v>285</v>
      </c>
      <c r="T42" s="7" t="n">
        <v>1</v>
      </c>
      <c r="U42" s="6" t="n">
        <f aca="false">ROUND(2*T42^2*IF(D42="Rare Active",6,IF(D42="Workhorse",2,1))+(K42+M42+O42)/2,0)</f>
        <v>5</v>
      </c>
      <c r="V42" s="7" t="n">
        <v>300</v>
      </c>
      <c r="W42" s="6" t="str">
        <f aca="false">IF(COUNTIF(Plants!$A$2:$A$1000,C42)&gt;0,"yes","")</f>
        <v>yes</v>
      </c>
    </row>
    <row r="43" customFormat="false" ht="15" hidden="false" customHeight="false" outlineLevel="0" collapsed="false">
      <c r="A43" s="6" t="s">
        <v>286</v>
      </c>
      <c r="B43" s="7" t="s">
        <v>287</v>
      </c>
      <c r="C43" s="7" t="s">
        <v>288</v>
      </c>
      <c r="D43" s="7" t="s">
        <v>77</v>
      </c>
      <c r="E43" s="7" t="s">
        <v>46</v>
      </c>
      <c r="F43" s="7" t="s">
        <v>78</v>
      </c>
      <c r="G43" s="7" t="n">
        <v>9</v>
      </c>
      <c r="H43" s="7" t="n">
        <v>11</v>
      </c>
      <c r="I43" s="7" t="n">
        <v>9</v>
      </c>
      <c r="J43" s="7" t="s">
        <v>58</v>
      </c>
      <c r="K43" s="7" t="n">
        <v>7</v>
      </c>
      <c r="L43" s="7" t="s">
        <v>132</v>
      </c>
      <c r="M43" s="7" t="n">
        <v>4</v>
      </c>
      <c r="N43" s="7" t="s">
        <v>289</v>
      </c>
      <c r="O43" s="7" t="n">
        <v>3</v>
      </c>
      <c r="P43" s="7" t="n">
        <v>8</v>
      </c>
      <c r="Q43" s="7" t="s">
        <v>290</v>
      </c>
      <c r="R43" s="7" t="s">
        <v>291</v>
      </c>
      <c r="S43" s="7" t="s">
        <v>292</v>
      </c>
      <c r="T43" s="7" t="n">
        <v>2</v>
      </c>
      <c r="U43" s="6" t="n">
        <f aca="false">ROUND(2*T43^2*IF(D43="Rare Active",6,IF(D43="Workhorse",2,1))+(K43+M43+O43)/2,0)</f>
        <v>23</v>
      </c>
      <c r="V43" s="7" t="n">
        <v>120</v>
      </c>
      <c r="W43" s="6" t="str">
        <f aca="false">IF(COUNTIF(Plants!$A$2:$A$1000,C43)&gt;0,"yes","")</f>
        <v>yes</v>
      </c>
    </row>
    <row r="44" customFormat="false" ht="15" hidden="false" customHeight="false" outlineLevel="0" collapsed="false">
      <c r="A44" s="6" t="s">
        <v>293</v>
      </c>
      <c r="B44" s="7" t="s">
        <v>294</v>
      </c>
      <c r="C44" s="7" t="s">
        <v>288</v>
      </c>
      <c r="D44" s="7" t="s">
        <v>45</v>
      </c>
      <c r="E44" s="7" t="s">
        <v>46</v>
      </c>
      <c r="F44" s="7" t="s">
        <v>131</v>
      </c>
      <c r="G44" s="7" t="n">
        <v>8</v>
      </c>
      <c r="H44" s="7" t="n">
        <v>10</v>
      </c>
      <c r="I44" s="7" t="n">
        <v>0</v>
      </c>
      <c r="J44" s="7" t="s">
        <v>132</v>
      </c>
      <c r="K44" s="7" t="n">
        <v>7</v>
      </c>
      <c r="L44" s="7"/>
      <c r="M44" s="7"/>
      <c r="N44" s="7"/>
      <c r="O44" s="7"/>
      <c r="P44" s="7" t="n">
        <v>6</v>
      </c>
      <c r="Q44" s="7" t="s">
        <v>295</v>
      </c>
      <c r="R44" s="7" t="s">
        <v>102</v>
      </c>
      <c r="S44" s="7" t="s">
        <v>296</v>
      </c>
      <c r="T44" s="7" t="n">
        <v>2</v>
      </c>
      <c r="U44" s="6" t="n">
        <f aca="false">ROUND(2*T44^2*IF(D44="Rare Active",6,IF(D44="Workhorse",2,1))+(K44+M44+O44)/2,0)</f>
        <v>12</v>
      </c>
      <c r="V44" s="7" t="n">
        <v>10</v>
      </c>
      <c r="W44" s="6" t="str">
        <f aca="false">IF(COUNTIF(Plants!$A$2:$A$1000,C44)&gt;0,"yes","")</f>
        <v>yes</v>
      </c>
    </row>
    <row r="45" customFormat="false" ht="15" hidden="false" customHeight="false" outlineLevel="0" collapsed="false">
      <c r="A45" s="6" t="s">
        <v>297</v>
      </c>
      <c r="B45" s="7" t="s">
        <v>298</v>
      </c>
      <c r="C45" s="7" t="s">
        <v>299</v>
      </c>
      <c r="D45" s="7" t="s">
        <v>77</v>
      </c>
      <c r="E45" s="7" t="s">
        <v>46</v>
      </c>
      <c r="F45" s="7" t="s">
        <v>47</v>
      </c>
      <c r="G45" s="7" t="n">
        <v>6</v>
      </c>
      <c r="H45" s="7" t="n">
        <v>9</v>
      </c>
      <c r="I45" s="7" t="n">
        <v>9</v>
      </c>
      <c r="J45" s="7" t="s">
        <v>57</v>
      </c>
      <c r="K45" s="7" t="n">
        <v>5</v>
      </c>
      <c r="L45" s="7" t="s">
        <v>58</v>
      </c>
      <c r="M45" s="7" t="n">
        <v>2</v>
      </c>
      <c r="N45" s="7"/>
      <c r="O45" s="7"/>
      <c r="P45" s="7" t="n">
        <v>0</v>
      </c>
      <c r="Q45" s="7" t="s">
        <v>300</v>
      </c>
      <c r="R45" s="7" t="s">
        <v>96</v>
      </c>
      <c r="S45" s="7" t="s">
        <v>301</v>
      </c>
      <c r="T45" s="7" t="n">
        <v>1</v>
      </c>
      <c r="U45" s="6" t="n">
        <f aca="false">ROUND(2*T45^2*IF(D45="Rare Active",6,IF(D45="Workhorse",2,1))+(K45+M45+O45)/2,0)</f>
        <v>8</v>
      </c>
      <c r="V45" s="7" t="n">
        <v>45</v>
      </c>
      <c r="W45" s="6" t="str">
        <f aca="false">IF(COUNTIF(Plants!$A$2:$A$1000,C45)&gt;0,"yes","")</f>
        <v>yes</v>
      </c>
    </row>
    <row r="46" customFormat="false" ht="15" hidden="false" customHeight="false" outlineLevel="0" collapsed="false">
      <c r="A46" s="6" t="s">
        <v>302</v>
      </c>
      <c r="B46" s="7" t="s">
        <v>303</v>
      </c>
      <c r="C46" s="7" t="s">
        <v>299</v>
      </c>
      <c r="D46" s="7" t="s">
        <v>45</v>
      </c>
      <c r="E46" s="7" t="s">
        <v>46</v>
      </c>
      <c r="F46" s="7" t="s">
        <v>120</v>
      </c>
      <c r="G46" s="7" t="n">
        <v>7</v>
      </c>
      <c r="H46" s="7" t="n">
        <v>8</v>
      </c>
      <c r="I46" s="7" t="n">
        <v>0</v>
      </c>
      <c r="J46" s="7" t="s">
        <v>57</v>
      </c>
      <c r="K46" s="7" t="n">
        <v>3</v>
      </c>
      <c r="L46" s="7" t="s">
        <v>65</v>
      </c>
      <c r="M46" s="7" t="n">
        <v>2</v>
      </c>
      <c r="N46" s="7"/>
      <c r="O46" s="7"/>
      <c r="P46" s="7" t="n">
        <v>0</v>
      </c>
      <c r="Q46" s="7" t="s">
        <v>73</v>
      </c>
      <c r="R46" s="7" t="s">
        <v>304</v>
      </c>
      <c r="S46" s="7" t="s">
        <v>305</v>
      </c>
      <c r="T46" s="7" t="n">
        <v>1</v>
      </c>
      <c r="U46" s="6" t="n">
        <f aca="false">ROUND(2*T46^2*IF(D46="Rare Active",6,IF(D46="Workhorse",2,1))+(K46+M46+O46)/2,0)</f>
        <v>5</v>
      </c>
      <c r="V46" s="7" t="n">
        <v>30</v>
      </c>
      <c r="W46" s="6" t="str">
        <f aca="false">IF(COUNTIF(Plants!$A$2:$A$1000,C46)&gt;0,"yes","")</f>
        <v>yes</v>
      </c>
    </row>
    <row r="47" customFormat="false" ht="15" hidden="false" customHeight="false" outlineLevel="0" collapsed="false">
      <c r="A47" s="6" t="s">
        <v>306</v>
      </c>
      <c r="B47" s="7" t="s">
        <v>307</v>
      </c>
      <c r="C47" s="7" t="s">
        <v>308</v>
      </c>
      <c r="D47" s="7" t="s">
        <v>77</v>
      </c>
      <c r="E47" s="7" t="s">
        <v>107</v>
      </c>
      <c r="F47" s="7" t="s">
        <v>120</v>
      </c>
      <c r="G47" s="7" t="n">
        <v>6</v>
      </c>
      <c r="H47" s="7" t="n">
        <v>9</v>
      </c>
      <c r="I47" s="7" t="n">
        <v>9</v>
      </c>
      <c r="J47" s="7" t="s">
        <v>66</v>
      </c>
      <c r="K47" s="7" t="n">
        <v>4</v>
      </c>
      <c r="L47" s="7" t="s">
        <v>79</v>
      </c>
      <c r="M47" s="7" t="n">
        <v>3</v>
      </c>
      <c r="N47" s="7" t="s">
        <v>65</v>
      </c>
      <c r="O47" s="7" t="n">
        <v>2</v>
      </c>
      <c r="P47" s="7" t="n">
        <v>1</v>
      </c>
      <c r="Q47" s="7" t="s">
        <v>309</v>
      </c>
      <c r="R47" s="7" t="s">
        <v>310</v>
      </c>
      <c r="S47" s="7" t="s">
        <v>311</v>
      </c>
      <c r="T47" s="7" t="n">
        <v>1</v>
      </c>
      <c r="U47" s="6" t="n">
        <f aca="false">ROUND(2*T47^2*IF(D47="Rare Active",6,IF(D47="Workhorse",2,1))+(K47+M47+O47)/2,0)</f>
        <v>9</v>
      </c>
      <c r="V47" s="7" t="n">
        <v>30</v>
      </c>
      <c r="W47" s="6" t="str">
        <f aca="false">IF(COUNTIF(Plants!$A$2:$A$1000,C47)&gt;0,"yes","")</f>
        <v>yes</v>
      </c>
    </row>
    <row r="48" customFormat="false" ht="15" hidden="false" customHeight="false" outlineLevel="0" collapsed="false">
      <c r="A48" s="6" t="s">
        <v>312</v>
      </c>
      <c r="B48" s="7" t="s">
        <v>313</v>
      </c>
      <c r="C48" s="7" t="s">
        <v>314</v>
      </c>
      <c r="D48" s="7" t="s">
        <v>45</v>
      </c>
      <c r="E48" s="7" t="s">
        <v>46</v>
      </c>
      <c r="F48" s="7" t="s">
        <v>175</v>
      </c>
      <c r="G48" s="7" t="n">
        <v>8</v>
      </c>
      <c r="H48" s="7" t="n">
        <v>10</v>
      </c>
      <c r="I48" s="7" t="n">
        <v>0</v>
      </c>
      <c r="J48" s="7" t="s">
        <v>66</v>
      </c>
      <c r="K48" s="7" t="n">
        <v>3</v>
      </c>
      <c r="L48" s="7"/>
      <c r="M48" s="7"/>
      <c r="N48" s="7"/>
      <c r="O48" s="7"/>
      <c r="P48" s="7" t="n">
        <v>1</v>
      </c>
      <c r="Q48" s="7" t="s">
        <v>315</v>
      </c>
      <c r="R48" s="7" t="s">
        <v>316</v>
      </c>
      <c r="S48" s="7" t="s">
        <v>317</v>
      </c>
      <c r="T48" s="7" t="n">
        <v>2</v>
      </c>
      <c r="U48" s="6" t="n">
        <f aca="false">ROUND(2*T48^2*IF(D48="Rare Active",6,IF(D48="Workhorse",2,1))+(K48+M48+O48)/2,0)</f>
        <v>10</v>
      </c>
      <c r="V48" s="7" t="n">
        <v>300</v>
      </c>
      <c r="W48" s="6" t="str">
        <f aca="false">IF(COUNTIF(Plants!$A$2:$A$1000,C48)&gt;0,"yes","")</f>
        <v>yes</v>
      </c>
    </row>
    <row r="49" customFormat="false" ht="15" hidden="false" customHeight="false" outlineLevel="0" collapsed="false">
      <c r="A49" s="6" t="s">
        <v>318</v>
      </c>
      <c r="B49" s="7" t="s">
        <v>319</v>
      </c>
      <c r="C49" s="7" t="s">
        <v>320</v>
      </c>
      <c r="D49" s="7" t="s">
        <v>45</v>
      </c>
      <c r="E49" s="7" t="s">
        <v>46</v>
      </c>
      <c r="F49" s="7" t="s">
        <v>78</v>
      </c>
      <c r="G49" s="7" t="n">
        <v>10</v>
      </c>
      <c r="H49" s="7" t="n">
        <v>11</v>
      </c>
      <c r="I49" s="7" t="n">
        <v>9</v>
      </c>
      <c r="J49" s="7" t="s">
        <v>94</v>
      </c>
      <c r="K49" s="7" t="n">
        <v>6</v>
      </c>
      <c r="L49" s="7" t="s">
        <v>48</v>
      </c>
      <c r="M49" s="7" t="n">
        <v>3</v>
      </c>
      <c r="N49" s="7"/>
      <c r="O49" s="7"/>
      <c r="P49" s="7" t="n">
        <v>5</v>
      </c>
      <c r="Q49" s="7" t="s">
        <v>321</v>
      </c>
      <c r="R49" s="7" t="s">
        <v>322</v>
      </c>
      <c r="S49" s="7" t="s">
        <v>323</v>
      </c>
      <c r="T49" s="7" t="n">
        <v>2</v>
      </c>
      <c r="U49" s="6" t="n">
        <f aca="false">ROUND(2*T49^2*IF(D49="Rare Active",6,IF(D49="Workhorse",2,1))+(K49+M49+O49)/2,0)</f>
        <v>13</v>
      </c>
      <c r="V49" s="7" t="n">
        <v>120</v>
      </c>
      <c r="W49" s="6" t="str">
        <f aca="false">IF(COUNTIF(Plants!$A$2:$A$1000,C49)&gt;0,"yes","")</f>
        <v>yes</v>
      </c>
    </row>
    <row r="50" customFormat="false" ht="15" hidden="false" customHeight="false" outlineLevel="0" collapsed="false">
      <c r="A50" s="6" t="s">
        <v>324</v>
      </c>
      <c r="B50" s="7" t="s">
        <v>325</v>
      </c>
      <c r="C50" s="7" t="s">
        <v>326</v>
      </c>
      <c r="D50" s="7" t="s">
        <v>77</v>
      </c>
      <c r="E50" s="7" t="s">
        <v>139</v>
      </c>
      <c r="F50" s="7" t="s">
        <v>175</v>
      </c>
      <c r="G50" s="7" t="n">
        <v>7</v>
      </c>
      <c r="H50" s="7" t="n">
        <v>9</v>
      </c>
      <c r="I50" s="7" t="n">
        <v>0</v>
      </c>
      <c r="J50" s="7" t="s">
        <v>289</v>
      </c>
      <c r="K50" s="7" t="n">
        <v>9</v>
      </c>
      <c r="L50" s="7"/>
      <c r="M50" s="7"/>
      <c r="N50" s="7"/>
      <c r="O50" s="7"/>
      <c r="P50" s="7" t="n">
        <v>10</v>
      </c>
      <c r="Q50" s="7" t="s">
        <v>327</v>
      </c>
      <c r="R50" s="7" t="s">
        <v>328</v>
      </c>
      <c r="S50" s="7" t="s">
        <v>329</v>
      </c>
      <c r="T50" s="7" t="n">
        <v>3</v>
      </c>
      <c r="U50" s="6" t="n">
        <f aca="false">ROUND(2*T50^2*IF(D50="Rare Active",6,IF(D50="Workhorse",2,1))+(K50+M50+O50)/2,0)</f>
        <v>41</v>
      </c>
      <c r="V50" s="7" t="n">
        <v>300</v>
      </c>
      <c r="W50" s="6" t="str">
        <f aca="false">IF(COUNTIF(Plants!$A$2:$A$1000,C50)&gt;0,"yes","")</f>
        <v/>
      </c>
    </row>
    <row r="51" customFormat="false" ht="15" hidden="false" customHeight="false" outlineLevel="0" collapsed="false">
      <c r="A51" s="6" t="s">
        <v>330</v>
      </c>
      <c r="B51" s="7" t="s">
        <v>331</v>
      </c>
      <c r="C51" s="7" t="s">
        <v>332</v>
      </c>
      <c r="D51" s="7" t="s">
        <v>77</v>
      </c>
      <c r="E51" s="7" t="s">
        <v>214</v>
      </c>
      <c r="F51" s="7" t="s">
        <v>78</v>
      </c>
      <c r="G51" s="7" t="n">
        <v>5</v>
      </c>
      <c r="H51" s="7" t="n">
        <v>10</v>
      </c>
      <c r="I51" s="7" t="n">
        <v>0</v>
      </c>
      <c r="J51" s="7" t="s">
        <v>176</v>
      </c>
      <c r="K51" s="7" t="n">
        <v>9</v>
      </c>
      <c r="L51" s="7"/>
      <c r="M51" s="7"/>
      <c r="N51" s="7"/>
      <c r="O51" s="7"/>
      <c r="P51" s="7" t="n">
        <v>10</v>
      </c>
      <c r="Q51" s="7" t="s">
        <v>327</v>
      </c>
      <c r="R51" s="7" t="s">
        <v>333</v>
      </c>
      <c r="S51" s="7" t="s">
        <v>334</v>
      </c>
      <c r="T51" s="7" t="n">
        <v>3</v>
      </c>
      <c r="U51" s="6" t="n">
        <f aca="false">ROUND(2*T51^2*IF(D51="Rare Active",6,IF(D51="Workhorse",2,1))+(K51+M51+O51)/2,0)</f>
        <v>41</v>
      </c>
      <c r="V51" s="7" t="n">
        <v>120</v>
      </c>
      <c r="W51" s="6" t="str">
        <f aca="false">IF(COUNTIF(Plants!$A$2:$A$1000,C51)&gt;0,"yes","")</f>
        <v/>
      </c>
    </row>
    <row r="52" customFormat="false" ht="15" hidden="false" customHeight="false" outlineLevel="0" collapsed="false">
      <c r="A52" s="6" t="s">
        <v>335</v>
      </c>
      <c r="B52" s="7" t="s">
        <v>336</v>
      </c>
      <c r="C52" s="7" t="s">
        <v>337</v>
      </c>
      <c r="D52" s="7" t="s">
        <v>77</v>
      </c>
      <c r="E52" s="7" t="s">
        <v>46</v>
      </c>
      <c r="F52" s="7" t="s">
        <v>175</v>
      </c>
      <c r="G52" s="7" t="n">
        <v>8</v>
      </c>
      <c r="H52" s="7" t="n">
        <v>10</v>
      </c>
      <c r="I52" s="7" t="n">
        <v>0</v>
      </c>
      <c r="J52" s="7" t="s">
        <v>289</v>
      </c>
      <c r="K52" s="7" t="n">
        <v>9</v>
      </c>
      <c r="L52" s="7"/>
      <c r="M52" s="7"/>
      <c r="N52" s="7"/>
      <c r="O52" s="7"/>
      <c r="P52" s="7" t="n">
        <v>9</v>
      </c>
      <c r="Q52" s="7" t="s">
        <v>327</v>
      </c>
      <c r="R52" s="7" t="s">
        <v>291</v>
      </c>
      <c r="S52" s="7" t="s">
        <v>338</v>
      </c>
      <c r="T52" s="7" t="n">
        <v>2</v>
      </c>
      <c r="U52" s="6" t="n">
        <f aca="false">ROUND(2*T52^2*IF(D52="Rare Active",6,IF(D52="Workhorse",2,1))+(K52+M52+O52)/2,0)</f>
        <v>21</v>
      </c>
      <c r="V52" s="7" t="n">
        <v>300</v>
      </c>
      <c r="W52" s="6" t="str">
        <f aca="false">IF(COUNTIF(Plants!$A$2:$A$1000,C52)&gt;0,"yes","")</f>
        <v>yes</v>
      </c>
    </row>
    <row r="53" customFormat="false" ht="15" hidden="false" customHeight="false" outlineLevel="0" collapsed="false">
      <c r="A53" s="6" t="s">
        <v>339</v>
      </c>
      <c r="B53" s="7" t="s">
        <v>340</v>
      </c>
      <c r="C53" s="7" t="s">
        <v>341</v>
      </c>
      <c r="D53" s="7" t="s">
        <v>45</v>
      </c>
      <c r="E53" s="7" t="s">
        <v>107</v>
      </c>
      <c r="F53" s="7" t="s">
        <v>175</v>
      </c>
      <c r="G53" s="7" t="n">
        <v>9</v>
      </c>
      <c r="H53" s="7" t="n">
        <v>10</v>
      </c>
      <c r="I53" s="7" t="n">
        <v>0</v>
      </c>
      <c r="J53" s="7" t="s">
        <v>80</v>
      </c>
      <c r="K53" s="7" t="n">
        <v>4</v>
      </c>
      <c r="L53" s="7" t="s">
        <v>113</v>
      </c>
      <c r="M53" s="7" t="n">
        <v>3</v>
      </c>
      <c r="N53" s="7"/>
      <c r="O53" s="7"/>
      <c r="P53" s="7" t="n">
        <v>4</v>
      </c>
      <c r="Q53" s="7" t="s">
        <v>81</v>
      </c>
      <c r="R53" s="7" t="s">
        <v>60</v>
      </c>
      <c r="S53" s="7" t="s">
        <v>342</v>
      </c>
      <c r="T53" s="7" t="n">
        <v>2</v>
      </c>
      <c r="U53" s="6" t="n">
        <f aca="false">ROUND(2*T53^2*IF(D53="Rare Active",6,IF(D53="Workhorse",2,1))+(K53+M53+O53)/2,0)</f>
        <v>12</v>
      </c>
      <c r="V53" s="7" t="n">
        <v>300</v>
      </c>
      <c r="W53" s="6" t="str">
        <f aca="false">IF(COUNTIF(Plants!$A$2:$A$1000,C53)&gt;0,"yes","")</f>
        <v>yes</v>
      </c>
    </row>
    <row r="54" customFormat="false" ht="15" hidden="false" customHeight="false" outlineLevel="0" collapsed="false">
      <c r="A54" s="6" t="s">
        <v>343</v>
      </c>
      <c r="B54" s="7" t="s">
        <v>344</v>
      </c>
      <c r="C54" s="7" t="s">
        <v>345</v>
      </c>
      <c r="D54" s="7" t="s">
        <v>77</v>
      </c>
      <c r="E54" s="7" t="s">
        <v>107</v>
      </c>
      <c r="F54" s="7" t="s">
        <v>78</v>
      </c>
      <c r="G54" s="7" t="n">
        <v>9</v>
      </c>
      <c r="H54" s="7" t="n">
        <v>10</v>
      </c>
      <c r="I54" s="7" t="n">
        <v>9</v>
      </c>
      <c r="J54" s="7" t="s">
        <v>113</v>
      </c>
      <c r="K54" s="7" t="n">
        <v>5</v>
      </c>
      <c r="L54" s="7" t="s">
        <v>176</v>
      </c>
      <c r="M54" s="7" t="n">
        <v>2</v>
      </c>
      <c r="N54" s="7"/>
      <c r="O54" s="7"/>
      <c r="P54" s="7" t="n">
        <v>3</v>
      </c>
      <c r="Q54" s="7" t="s">
        <v>81</v>
      </c>
      <c r="R54" s="7" t="s">
        <v>51</v>
      </c>
      <c r="S54" s="7" t="s">
        <v>346</v>
      </c>
      <c r="T54" s="7" t="n">
        <v>4</v>
      </c>
      <c r="U54" s="6" t="n">
        <f aca="false">ROUND(2*T54^2*IF(D54="Rare Active",6,IF(D54="Workhorse",2,1))+(K54+M54+O54)/2,0)</f>
        <v>68</v>
      </c>
      <c r="V54" s="7" t="n">
        <v>120</v>
      </c>
      <c r="W54" s="6" t="str">
        <f aca="false">IF(COUNTIF(Plants!$A$2:$A$1000,C54)&gt;0,"yes","")</f>
        <v>yes</v>
      </c>
    </row>
    <row r="55" customFormat="false" ht="15" hidden="false" customHeight="false" outlineLevel="0" collapsed="false">
      <c r="A55" s="6" t="s">
        <v>347</v>
      </c>
      <c r="B55" s="7" t="s">
        <v>348</v>
      </c>
      <c r="C55" s="7" t="s">
        <v>349</v>
      </c>
      <c r="D55" s="7" t="s">
        <v>77</v>
      </c>
      <c r="E55" s="7" t="s">
        <v>107</v>
      </c>
      <c r="F55" s="7" t="s">
        <v>78</v>
      </c>
      <c r="G55" s="7" t="n">
        <v>9</v>
      </c>
      <c r="H55" s="7" t="n">
        <v>10</v>
      </c>
      <c r="I55" s="7" t="n">
        <v>9</v>
      </c>
      <c r="J55" s="7" t="s">
        <v>289</v>
      </c>
      <c r="K55" s="7" t="n">
        <v>3</v>
      </c>
      <c r="L55" s="7" t="s">
        <v>65</v>
      </c>
      <c r="M55" s="7" t="n">
        <v>3</v>
      </c>
      <c r="N55" s="7" t="s">
        <v>176</v>
      </c>
      <c r="O55" s="7" t="n">
        <v>2</v>
      </c>
      <c r="P55" s="7" t="n">
        <v>0</v>
      </c>
      <c r="Q55" s="7" t="s">
        <v>350</v>
      </c>
      <c r="R55" s="7" t="s">
        <v>51</v>
      </c>
      <c r="S55" s="7" t="s">
        <v>351</v>
      </c>
      <c r="T55" s="7" t="n">
        <v>3</v>
      </c>
      <c r="U55" s="6" t="n">
        <f aca="false">ROUND(2*T55^2*IF(D55="Rare Active",6,IF(D55="Workhorse",2,1))+(K55+M55+O55)/2,0)</f>
        <v>40</v>
      </c>
      <c r="V55" s="7" t="n">
        <v>120</v>
      </c>
      <c r="W55" s="6" t="str">
        <f aca="false">IF(COUNTIF(Plants!$A$2:$A$1000,C55)&gt;0,"yes","")</f>
        <v>yes</v>
      </c>
    </row>
    <row r="56" customFormat="false" ht="15" hidden="false" customHeight="false" outlineLevel="0" collapsed="false">
      <c r="A56" s="6" t="s">
        <v>352</v>
      </c>
      <c r="B56" s="7" t="s">
        <v>353</v>
      </c>
      <c r="C56" s="7" t="s">
        <v>354</v>
      </c>
      <c r="D56" s="7" t="s">
        <v>77</v>
      </c>
      <c r="E56" s="7" t="s">
        <v>107</v>
      </c>
      <c r="F56" s="7" t="s">
        <v>78</v>
      </c>
      <c r="G56" s="7" t="n">
        <v>9</v>
      </c>
      <c r="H56" s="7" t="n">
        <v>10</v>
      </c>
      <c r="I56" s="7" t="n">
        <v>9</v>
      </c>
      <c r="J56" s="7" t="s">
        <v>289</v>
      </c>
      <c r="K56" s="7" t="n">
        <v>4</v>
      </c>
      <c r="L56" s="7" t="s">
        <v>176</v>
      </c>
      <c r="M56" s="7" t="n">
        <v>2</v>
      </c>
      <c r="N56" s="7"/>
      <c r="O56" s="7"/>
      <c r="P56" s="7" t="n">
        <v>0</v>
      </c>
      <c r="Q56" s="7" t="s">
        <v>355</v>
      </c>
      <c r="R56" s="7" t="s">
        <v>51</v>
      </c>
      <c r="S56" s="7" t="s">
        <v>356</v>
      </c>
      <c r="T56" s="7" t="n">
        <v>4</v>
      </c>
      <c r="U56" s="6" t="n">
        <f aca="false">ROUND(2*T56^2*IF(D56="Rare Active",6,IF(D56="Workhorse",2,1))+(K56+M56+O56)/2,0)</f>
        <v>67</v>
      </c>
      <c r="V56" s="7" t="n">
        <v>120</v>
      </c>
      <c r="W56" s="6" t="str">
        <f aca="false">IF(COUNTIF(Plants!$A$2:$A$1000,C56)&gt;0,"yes","")</f>
        <v/>
      </c>
    </row>
    <row r="57" customFormat="false" ht="15" hidden="false" customHeight="false" outlineLevel="0" collapsed="false">
      <c r="A57" s="6" t="s">
        <v>357</v>
      </c>
      <c r="B57" s="7" t="s">
        <v>358</v>
      </c>
      <c r="C57" s="7" t="s">
        <v>359</v>
      </c>
      <c r="D57" s="7" t="s">
        <v>77</v>
      </c>
      <c r="E57" s="7" t="s">
        <v>107</v>
      </c>
      <c r="F57" s="7" t="s">
        <v>47</v>
      </c>
      <c r="G57" s="7" t="n">
        <v>6</v>
      </c>
      <c r="H57" s="7" t="n">
        <v>8</v>
      </c>
      <c r="I57" s="7" t="n">
        <v>9</v>
      </c>
      <c r="J57" s="7" t="s">
        <v>66</v>
      </c>
      <c r="K57" s="7" t="n">
        <v>6</v>
      </c>
      <c r="L57" s="7"/>
      <c r="M57" s="7"/>
      <c r="N57" s="7"/>
      <c r="O57" s="7"/>
      <c r="P57" s="7" t="n">
        <v>0</v>
      </c>
      <c r="Q57" s="7" t="s">
        <v>360</v>
      </c>
      <c r="R57" s="7" t="s">
        <v>361</v>
      </c>
      <c r="S57" s="7" t="s">
        <v>362</v>
      </c>
      <c r="T57" s="7" t="n">
        <v>1</v>
      </c>
      <c r="U57" s="6" t="n">
        <f aca="false">ROUND(2*T57^2*IF(D57="Rare Active",6,IF(D57="Workhorse",2,1))+(K57+M57+O57)/2,0)</f>
        <v>7</v>
      </c>
      <c r="V57" s="7" t="n">
        <v>45</v>
      </c>
      <c r="W57" s="6" t="str">
        <f aca="false">IF(COUNTIF(Plants!$A$2:$A$1000,C57)&gt;0,"yes","")</f>
        <v>yes</v>
      </c>
    </row>
    <row r="58" customFormat="false" ht="15" hidden="false" customHeight="false" outlineLevel="0" collapsed="false">
      <c r="A58" s="6" t="s">
        <v>363</v>
      </c>
      <c r="B58" s="7" t="s">
        <v>364</v>
      </c>
      <c r="C58" s="7" t="s">
        <v>365</v>
      </c>
      <c r="D58" s="7" t="s">
        <v>45</v>
      </c>
      <c r="E58" s="7" t="s">
        <v>107</v>
      </c>
      <c r="F58" s="7" t="s">
        <v>47</v>
      </c>
      <c r="G58" s="7" t="n">
        <v>6</v>
      </c>
      <c r="H58" s="7" t="n">
        <v>9</v>
      </c>
      <c r="I58" s="7" t="n">
        <v>9</v>
      </c>
      <c r="J58" s="7" t="s">
        <v>66</v>
      </c>
      <c r="K58" s="7" t="n">
        <v>5</v>
      </c>
      <c r="L58" s="7"/>
      <c r="M58" s="7"/>
      <c r="N58" s="7"/>
      <c r="O58" s="7"/>
      <c r="P58" s="7" t="n">
        <v>0</v>
      </c>
      <c r="Q58" s="7" t="s">
        <v>366</v>
      </c>
      <c r="R58" s="7" t="s">
        <v>367</v>
      </c>
      <c r="S58" s="7" t="s">
        <v>368</v>
      </c>
      <c r="T58" s="7" t="n">
        <v>1</v>
      </c>
      <c r="U58" s="6" t="n">
        <f aca="false">ROUND(2*T58^2*IF(D58="Rare Active",6,IF(D58="Workhorse",2,1))+(K58+M58+O58)/2,0)</f>
        <v>5</v>
      </c>
      <c r="V58" s="7" t="n">
        <v>45</v>
      </c>
      <c r="W58" s="6" t="str">
        <f aca="false">IF(COUNTIF(Plants!$A$2:$A$1000,C58)&gt;0,"yes","")</f>
        <v>yes</v>
      </c>
    </row>
    <row r="59" customFormat="false" ht="15" hidden="false" customHeight="false" outlineLevel="0" collapsed="false">
      <c r="A59" s="6" t="s">
        <v>369</v>
      </c>
      <c r="B59" s="7" t="s">
        <v>370</v>
      </c>
      <c r="C59" s="7" t="s">
        <v>371</v>
      </c>
      <c r="D59" s="7" t="s">
        <v>45</v>
      </c>
      <c r="E59" s="7" t="s">
        <v>107</v>
      </c>
      <c r="F59" s="7" t="s">
        <v>47</v>
      </c>
      <c r="G59" s="7" t="n">
        <v>6</v>
      </c>
      <c r="H59" s="7" t="n">
        <v>9</v>
      </c>
      <c r="I59" s="7" t="n">
        <v>9</v>
      </c>
      <c r="J59" s="7" t="s">
        <v>66</v>
      </c>
      <c r="K59" s="7" t="n">
        <v>4</v>
      </c>
      <c r="L59" s="7" t="s">
        <v>48</v>
      </c>
      <c r="M59" s="7" t="n">
        <v>1</v>
      </c>
      <c r="N59" s="7"/>
      <c r="O59" s="7"/>
      <c r="P59" s="7" t="n">
        <v>0</v>
      </c>
      <c r="Q59" s="7" t="s">
        <v>372</v>
      </c>
      <c r="R59" s="7" t="s">
        <v>373</v>
      </c>
      <c r="S59" s="7" t="s">
        <v>374</v>
      </c>
      <c r="T59" s="7" t="n">
        <v>1</v>
      </c>
      <c r="U59" s="6" t="n">
        <f aca="false">ROUND(2*T59^2*IF(D59="Rare Active",6,IF(D59="Workhorse",2,1))+(K59+M59+O59)/2,0)</f>
        <v>5</v>
      </c>
      <c r="V59" s="7" t="n">
        <v>45</v>
      </c>
      <c r="W59" s="6" t="str">
        <f aca="false">IF(COUNTIF(Plants!$A$2:$A$1000,C59)&gt;0,"yes","")</f>
        <v/>
      </c>
    </row>
    <row r="60" customFormat="false" ht="15" hidden="false" customHeight="false" outlineLevel="0" collapsed="false">
      <c r="A60" s="6" t="s">
        <v>375</v>
      </c>
      <c r="B60" s="7" t="s">
        <v>376</v>
      </c>
      <c r="C60" s="7" t="s">
        <v>377</v>
      </c>
      <c r="D60" s="7" t="s">
        <v>77</v>
      </c>
      <c r="E60" s="7" t="s">
        <v>86</v>
      </c>
      <c r="F60" s="7" t="s">
        <v>215</v>
      </c>
      <c r="G60" s="7" t="n">
        <v>4</v>
      </c>
      <c r="H60" s="7" t="n">
        <v>10</v>
      </c>
      <c r="I60" s="7" t="n">
        <v>6</v>
      </c>
      <c r="J60" s="7" t="s">
        <v>66</v>
      </c>
      <c r="K60" s="7" t="n">
        <v>5</v>
      </c>
      <c r="L60" s="7" t="s">
        <v>49</v>
      </c>
      <c r="M60" s="7" t="n">
        <v>3</v>
      </c>
      <c r="N60" s="7"/>
      <c r="O60" s="7"/>
      <c r="P60" s="7" t="n">
        <v>4</v>
      </c>
      <c r="Q60" s="7" t="s">
        <v>378</v>
      </c>
      <c r="R60" s="7" t="s">
        <v>379</v>
      </c>
      <c r="S60" s="7" t="s">
        <v>380</v>
      </c>
      <c r="T60" s="7" t="n">
        <v>3</v>
      </c>
      <c r="U60" s="6" t="n">
        <f aca="false">ROUND(2*T60^2*IF(D60="Rare Active",6,IF(D60="Workhorse",2,1))+(K60+M60+O60)/2,0)</f>
        <v>40</v>
      </c>
      <c r="V60" s="7" t="n">
        <v>120</v>
      </c>
      <c r="W60" s="6" t="str">
        <f aca="false">IF(COUNTIF(Plants!$A$2:$A$1000,C60)&gt;0,"yes","")</f>
        <v/>
      </c>
    </row>
    <row r="61" customFormat="false" ht="15" hidden="false" customHeight="false" outlineLevel="0" collapsed="false">
      <c r="A61" s="6" t="s">
        <v>381</v>
      </c>
      <c r="B61" s="7" t="s">
        <v>382</v>
      </c>
      <c r="C61" s="7" t="s">
        <v>383</v>
      </c>
      <c r="D61" s="7" t="s">
        <v>77</v>
      </c>
      <c r="E61" s="7" t="s">
        <v>86</v>
      </c>
      <c r="F61" s="7" t="s">
        <v>215</v>
      </c>
      <c r="G61" s="7" t="n">
        <v>9</v>
      </c>
      <c r="H61" s="7" t="n">
        <v>10</v>
      </c>
      <c r="I61" s="7" t="n">
        <v>7</v>
      </c>
      <c r="J61" s="7" t="s">
        <v>176</v>
      </c>
      <c r="K61" s="7" t="n">
        <v>8</v>
      </c>
      <c r="L61" s="7"/>
      <c r="M61" s="7"/>
      <c r="N61" s="7"/>
      <c r="O61" s="7"/>
      <c r="P61" s="7" t="n">
        <v>9</v>
      </c>
      <c r="Q61" s="7" t="s">
        <v>327</v>
      </c>
      <c r="R61" s="7" t="s">
        <v>60</v>
      </c>
      <c r="S61" s="7" t="s">
        <v>384</v>
      </c>
      <c r="T61" s="7" t="n">
        <v>3</v>
      </c>
      <c r="U61" s="6" t="n">
        <f aca="false">ROUND(2*T61^2*IF(D61="Rare Active",6,IF(D61="Workhorse",2,1))+(K61+M61+O61)/2,0)</f>
        <v>40</v>
      </c>
      <c r="V61" s="7" t="n">
        <v>120</v>
      </c>
      <c r="W61" s="6" t="str">
        <f aca="false">IF(COUNTIF(Plants!$A$2:$A$1000,C61)&gt;0,"yes","")</f>
        <v>yes</v>
      </c>
    </row>
    <row r="62" customFormat="false" ht="15" hidden="false" customHeight="false" outlineLevel="0" collapsed="false">
      <c r="A62" s="6" t="s">
        <v>385</v>
      </c>
      <c r="B62" s="7" t="s">
        <v>386</v>
      </c>
      <c r="C62" s="7" t="s">
        <v>383</v>
      </c>
      <c r="D62" s="7" t="s">
        <v>45</v>
      </c>
      <c r="E62" s="7" t="s">
        <v>86</v>
      </c>
      <c r="F62" s="7" t="s">
        <v>131</v>
      </c>
      <c r="G62" s="7" t="n">
        <v>7</v>
      </c>
      <c r="H62" s="7" t="n">
        <v>8</v>
      </c>
      <c r="I62" s="7" t="n">
        <v>0</v>
      </c>
      <c r="J62" s="7" t="s">
        <v>48</v>
      </c>
      <c r="K62" s="7" t="n">
        <v>4</v>
      </c>
      <c r="L62" s="7"/>
      <c r="M62" s="7"/>
      <c r="N62" s="7"/>
      <c r="O62" s="7"/>
      <c r="P62" s="7" t="n">
        <v>1</v>
      </c>
      <c r="Q62" s="7" t="s">
        <v>387</v>
      </c>
      <c r="R62" s="7" t="s">
        <v>388</v>
      </c>
      <c r="S62" s="7" t="s">
        <v>389</v>
      </c>
      <c r="T62" s="7" t="n">
        <v>3</v>
      </c>
      <c r="U62" s="6" t="n">
        <f aca="false">ROUND(2*T62^2*IF(D62="Rare Active",6,IF(D62="Workhorse",2,1))+(K62+M62+O62)/2,0)</f>
        <v>20</v>
      </c>
      <c r="V62" s="7" t="n">
        <v>10</v>
      </c>
      <c r="W62" s="6" t="str">
        <f aca="false">IF(COUNTIF(Plants!$A$2:$A$1000,C62)&gt;0,"yes","")</f>
        <v>yes</v>
      </c>
    </row>
    <row r="63" customFormat="false" ht="15" hidden="false" customHeight="false" outlineLevel="0" collapsed="false">
      <c r="A63" s="6" t="s">
        <v>390</v>
      </c>
      <c r="B63" s="7" t="s">
        <v>391</v>
      </c>
      <c r="C63" s="7" t="s">
        <v>392</v>
      </c>
      <c r="D63" s="7" t="s">
        <v>393</v>
      </c>
      <c r="E63" s="7" t="s">
        <v>86</v>
      </c>
      <c r="F63" s="7" t="s">
        <v>215</v>
      </c>
      <c r="G63" s="7" t="n">
        <v>3</v>
      </c>
      <c r="H63" s="7" t="n">
        <v>4</v>
      </c>
      <c r="I63" s="7" t="n">
        <v>5</v>
      </c>
      <c r="J63" s="7" t="s">
        <v>289</v>
      </c>
      <c r="K63" s="7" t="n">
        <v>8</v>
      </c>
      <c r="L63" s="7" t="s">
        <v>114</v>
      </c>
      <c r="M63" s="7" t="n">
        <v>7</v>
      </c>
      <c r="N63" s="7"/>
      <c r="O63" s="7"/>
      <c r="P63" s="7" t="n">
        <v>7</v>
      </c>
      <c r="Q63" s="7" t="s">
        <v>394</v>
      </c>
      <c r="R63" s="7" t="s">
        <v>51</v>
      </c>
      <c r="S63" s="7" t="s">
        <v>395</v>
      </c>
      <c r="T63" s="7" t="n">
        <v>4</v>
      </c>
      <c r="U63" s="6" t="n">
        <f aca="false">ROUND(2*T63^2*IF(D63="Rare Active",6,IF(D63="Workhorse",2,1))+(K63+M63+O63)/2,0)</f>
        <v>200</v>
      </c>
      <c r="V63" s="7" t="n">
        <v>120</v>
      </c>
      <c r="W63" s="6" t="str">
        <f aca="false">IF(COUNTIF(Plants!$A$2:$A$1000,C63)&gt;0,"yes","")</f>
        <v/>
      </c>
    </row>
    <row r="64" customFormat="false" ht="15" hidden="false" customHeight="false" outlineLevel="0" collapsed="false">
      <c r="A64" s="6" t="s">
        <v>396</v>
      </c>
      <c r="B64" s="7" t="s">
        <v>397</v>
      </c>
      <c r="C64" s="7" t="s">
        <v>398</v>
      </c>
      <c r="D64" s="7" t="s">
        <v>393</v>
      </c>
      <c r="E64" s="7" t="s">
        <v>86</v>
      </c>
      <c r="F64" s="7" t="s">
        <v>215</v>
      </c>
      <c r="G64" s="7" t="n">
        <v>9</v>
      </c>
      <c r="H64" s="7" t="n">
        <v>10</v>
      </c>
      <c r="I64" s="7" t="n">
        <v>7</v>
      </c>
      <c r="J64" s="7" t="s">
        <v>289</v>
      </c>
      <c r="K64" s="7" t="n">
        <v>8</v>
      </c>
      <c r="L64" s="7" t="s">
        <v>79</v>
      </c>
      <c r="M64" s="7" t="n">
        <v>6</v>
      </c>
      <c r="N64" s="7" t="s">
        <v>114</v>
      </c>
      <c r="O64" s="7" t="n">
        <v>5</v>
      </c>
      <c r="P64" s="7" t="n">
        <v>3</v>
      </c>
      <c r="Q64" s="7" t="s">
        <v>399</v>
      </c>
      <c r="R64" s="7" t="s">
        <v>400</v>
      </c>
      <c r="S64" s="7" t="s">
        <v>401</v>
      </c>
      <c r="T64" s="7" t="n">
        <v>5</v>
      </c>
      <c r="U64" s="6" t="n">
        <f aca="false">ROUND(2*T64^2*IF(D64="Rare Active",6,IF(D64="Workhorse",2,1))+(K64+M64+O64)/2,0)</f>
        <v>310</v>
      </c>
      <c r="V64" s="7" t="n">
        <v>120</v>
      </c>
      <c r="W64" s="6" t="str">
        <f aca="false">IF(COUNTIF(Plants!$A$2:$A$1000,C64)&gt;0,"yes","")</f>
        <v/>
      </c>
    </row>
    <row r="65" customFormat="false" ht="15" hidden="false" customHeight="false" outlineLevel="0" collapsed="false">
      <c r="A65" s="6" t="s">
        <v>402</v>
      </c>
      <c r="B65" s="7" t="s">
        <v>403</v>
      </c>
      <c r="C65" s="7" t="s">
        <v>404</v>
      </c>
      <c r="D65" s="7" t="s">
        <v>393</v>
      </c>
      <c r="E65" s="7" t="s">
        <v>86</v>
      </c>
      <c r="F65" s="7" t="s">
        <v>78</v>
      </c>
      <c r="G65" s="7" t="n">
        <v>9</v>
      </c>
      <c r="H65" s="7" t="n">
        <v>10</v>
      </c>
      <c r="I65" s="7" t="n">
        <v>9</v>
      </c>
      <c r="J65" s="7" t="s">
        <v>58</v>
      </c>
      <c r="K65" s="7" t="n">
        <v>8</v>
      </c>
      <c r="L65" s="7" t="s">
        <v>113</v>
      </c>
      <c r="M65" s="7" t="n">
        <v>3</v>
      </c>
      <c r="N65" s="7"/>
      <c r="O65" s="7"/>
      <c r="P65" s="7" t="n">
        <v>0</v>
      </c>
      <c r="Q65" s="7" t="s">
        <v>405</v>
      </c>
      <c r="R65" s="7" t="s">
        <v>51</v>
      </c>
      <c r="S65" s="7" t="s">
        <v>406</v>
      </c>
      <c r="T65" s="7" t="n">
        <v>5</v>
      </c>
      <c r="U65" s="6" t="n">
        <f aca="false">ROUND(2*T65^2*IF(D65="Rare Active",6,IF(D65="Workhorse",2,1))+(K65+M65+O65)/2,0)</f>
        <v>306</v>
      </c>
      <c r="V65" s="7" t="n">
        <v>120</v>
      </c>
      <c r="W65" s="6" t="str">
        <f aca="false">IF(COUNTIF(Plants!$A$2:$A$1000,C65)&gt;0,"yes","")</f>
        <v/>
      </c>
    </row>
    <row r="66" customFormat="false" ht="15" hidden="false" customHeight="false" outlineLevel="0" collapsed="false">
      <c r="A66" s="6" t="s">
        <v>407</v>
      </c>
      <c r="B66" s="7" t="s">
        <v>408</v>
      </c>
      <c r="C66" s="7" t="s">
        <v>409</v>
      </c>
      <c r="D66" s="7" t="s">
        <v>77</v>
      </c>
      <c r="E66" s="7" t="s">
        <v>86</v>
      </c>
      <c r="F66" s="7" t="s">
        <v>78</v>
      </c>
      <c r="G66" s="7" t="n">
        <v>9</v>
      </c>
      <c r="H66" s="7" t="n">
        <v>10</v>
      </c>
      <c r="I66" s="7" t="n">
        <v>9</v>
      </c>
      <c r="J66" s="7" t="s">
        <v>113</v>
      </c>
      <c r="K66" s="7" t="n">
        <v>5</v>
      </c>
      <c r="L66" s="7" t="s">
        <v>176</v>
      </c>
      <c r="M66" s="7" t="n">
        <v>3</v>
      </c>
      <c r="N66" s="7"/>
      <c r="O66" s="7"/>
      <c r="P66" s="7" t="n">
        <v>2</v>
      </c>
      <c r="Q66" s="7" t="s">
        <v>410</v>
      </c>
      <c r="R66" s="7" t="s">
        <v>291</v>
      </c>
      <c r="S66" s="7" t="s">
        <v>411</v>
      </c>
      <c r="T66" s="7" t="n">
        <v>4</v>
      </c>
      <c r="U66" s="6" t="n">
        <f aca="false">ROUND(2*T66^2*IF(D66="Rare Active",6,IF(D66="Workhorse",2,1))+(K66+M66+O66)/2,0)</f>
        <v>68</v>
      </c>
      <c r="V66" s="7" t="n">
        <v>120</v>
      </c>
      <c r="W66" s="6" t="str">
        <f aca="false">IF(COUNTIF(Plants!$A$2:$A$1000,C66)&gt;0,"yes","")</f>
        <v/>
      </c>
    </row>
    <row r="67" customFormat="false" ht="15" hidden="false" customHeight="false" outlineLevel="0" collapsed="false">
      <c r="A67" s="6" t="s">
        <v>412</v>
      </c>
      <c r="B67" s="7" t="s">
        <v>413</v>
      </c>
      <c r="C67" s="7" t="s">
        <v>414</v>
      </c>
      <c r="D67" s="7" t="s">
        <v>77</v>
      </c>
      <c r="E67" s="7" t="s">
        <v>86</v>
      </c>
      <c r="F67" s="7" t="s">
        <v>78</v>
      </c>
      <c r="G67" s="7" t="n">
        <v>9</v>
      </c>
      <c r="H67" s="7" t="n">
        <v>10</v>
      </c>
      <c r="I67" s="7" t="n">
        <v>8</v>
      </c>
      <c r="J67" s="7" t="s">
        <v>58</v>
      </c>
      <c r="K67" s="7" t="n">
        <v>5</v>
      </c>
      <c r="L67" s="7" t="s">
        <v>289</v>
      </c>
      <c r="M67" s="7" t="n">
        <v>4</v>
      </c>
      <c r="N67" s="7"/>
      <c r="O67" s="7"/>
      <c r="P67" s="7" t="n">
        <v>5</v>
      </c>
      <c r="Q67" s="7" t="s">
        <v>290</v>
      </c>
      <c r="R67" s="7" t="s">
        <v>60</v>
      </c>
      <c r="S67" s="7" t="s">
        <v>415</v>
      </c>
      <c r="T67" s="7" t="n">
        <v>4</v>
      </c>
      <c r="U67" s="6" t="n">
        <f aca="false">ROUND(2*T67^2*IF(D67="Rare Active",6,IF(D67="Workhorse",2,1))+(K67+M67+O67)/2,0)</f>
        <v>69</v>
      </c>
      <c r="V67" s="7" t="n">
        <v>120</v>
      </c>
      <c r="W67" s="6" t="str">
        <f aca="false">IF(COUNTIF(Plants!$A$2:$A$1000,C67)&gt;0,"yes","")</f>
        <v/>
      </c>
    </row>
    <row r="68" customFormat="false" ht="15" hidden="false" customHeight="false" outlineLevel="0" collapsed="false">
      <c r="A68" s="6" t="s">
        <v>416</v>
      </c>
      <c r="B68" s="7" t="s">
        <v>417</v>
      </c>
      <c r="C68" s="7" t="s">
        <v>418</v>
      </c>
      <c r="D68" s="7" t="s">
        <v>77</v>
      </c>
      <c r="E68" s="7" t="s">
        <v>86</v>
      </c>
      <c r="F68" s="7" t="s">
        <v>215</v>
      </c>
      <c r="G68" s="7" t="n">
        <v>9</v>
      </c>
      <c r="H68" s="7" t="n">
        <v>10</v>
      </c>
      <c r="I68" s="7" t="n">
        <v>9</v>
      </c>
      <c r="J68" s="7" t="s">
        <v>57</v>
      </c>
      <c r="K68" s="7" t="n">
        <v>6</v>
      </c>
      <c r="L68" s="7" t="s">
        <v>58</v>
      </c>
      <c r="M68" s="7" t="n">
        <v>2</v>
      </c>
      <c r="N68" s="7"/>
      <c r="O68" s="7"/>
      <c r="P68" s="7" t="n">
        <v>1</v>
      </c>
      <c r="Q68" s="7" t="s">
        <v>419</v>
      </c>
      <c r="R68" s="7" t="s">
        <v>60</v>
      </c>
      <c r="S68" s="7" t="s">
        <v>420</v>
      </c>
      <c r="T68" s="7" t="n">
        <v>3</v>
      </c>
      <c r="U68" s="6" t="n">
        <f aca="false">ROUND(2*T68^2*IF(D68="Rare Active",6,IF(D68="Workhorse",2,1))+(K68+M68+O68)/2,0)</f>
        <v>40</v>
      </c>
      <c r="V68" s="7" t="n">
        <v>120</v>
      </c>
      <c r="W68" s="6" t="str">
        <f aca="false">IF(COUNTIF(Plants!$A$2:$A$1000,C68)&gt;0,"yes","")</f>
        <v/>
      </c>
    </row>
    <row r="69" customFormat="false" ht="15" hidden="false" customHeight="false" outlineLevel="0" collapsed="false">
      <c r="A69" s="6" t="s">
        <v>421</v>
      </c>
      <c r="B69" s="7" t="s">
        <v>422</v>
      </c>
      <c r="C69" s="7" t="s">
        <v>423</v>
      </c>
      <c r="D69" s="7" t="s">
        <v>77</v>
      </c>
      <c r="E69" s="7" t="s">
        <v>86</v>
      </c>
      <c r="F69" s="7" t="s">
        <v>215</v>
      </c>
      <c r="G69" s="7" t="n">
        <v>4</v>
      </c>
      <c r="H69" s="7" t="n">
        <v>5</v>
      </c>
      <c r="I69" s="7" t="n">
        <v>6</v>
      </c>
      <c r="J69" s="7" t="s">
        <v>58</v>
      </c>
      <c r="K69" s="7" t="n">
        <v>4</v>
      </c>
      <c r="L69" s="7"/>
      <c r="M69" s="7"/>
      <c r="N69" s="7"/>
      <c r="O69" s="7"/>
      <c r="P69" s="7" t="n">
        <v>2</v>
      </c>
      <c r="Q69" s="7" t="s">
        <v>290</v>
      </c>
      <c r="R69" s="7" t="s">
        <v>60</v>
      </c>
      <c r="S69" s="7" t="s">
        <v>424</v>
      </c>
      <c r="T69" s="7" t="n">
        <v>5</v>
      </c>
      <c r="U69" s="6" t="n">
        <f aca="false">ROUND(2*T69^2*IF(D69="Rare Active",6,IF(D69="Workhorse",2,1))+(K69+M69+O69)/2,0)</f>
        <v>102</v>
      </c>
      <c r="V69" s="7" t="n">
        <v>120</v>
      </c>
      <c r="W69" s="6" t="str">
        <f aca="false">IF(COUNTIF(Plants!$A$2:$A$1000,C69)&gt;0,"yes","")</f>
        <v/>
      </c>
    </row>
    <row r="70" customFormat="false" ht="15" hidden="false" customHeight="false" outlineLevel="0" collapsed="false">
      <c r="A70" s="6" t="s">
        <v>425</v>
      </c>
      <c r="B70" s="7" t="s">
        <v>426</v>
      </c>
      <c r="C70" s="7" t="s">
        <v>427</v>
      </c>
      <c r="D70" s="7" t="s">
        <v>45</v>
      </c>
      <c r="E70" s="7" t="s">
        <v>86</v>
      </c>
      <c r="F70" s="7" t="s">
        <v>78</v>
      </c>
      <c r="G70" s="7" t="n">
        <v>3</v>
      </c>
      <c r="H70" s="7" t="n">
        <v>4</v>
      </c>
      <c r="I70" s="7" t="n">
        <v>5</v>
      </c>
      <c r="J70" s="7" t="s">
        <v>48</v>
      </c>
      <c r="K70" s="7" t="n">
        <v>3</v>
      </c>
      <c r="L70" s="7"/>
      <c r="M70" s="7"/>
      <c r="N70" s="7"/>
      <c r="O70" s="7"/>
      <c r="P70" s="7" t="n">
        <v>0</v>
      </c>
      <c r="Q70" s="7" t="s">
        <v>428</v>
      </c>
      <c r="R70" s="7" t="s">
        <v>60</v>
      </c>
      <c r="S70" s="7" t="s">
        <v>429</v>
      </c>
      <c r="T70" s="7" t="n">
        <v>2</v>
      </c>
      <c r="U70" s="6" t="n">
        <f aca="false">ROUND(2*T70^2*IF(D70="Rare Active",6,IF(D70="Workhorse",2,1))+(K70+M70+O70)/2,0)</f>
        <v>10</v>
      </c>
      <c r="V70" s="7" t="n">
        <v>120</v>
      </c>
      <c r="W70" s="6" t="str">
        <f aca="false">IF(COUNTIF(Plants!$A$2:$A$1000,C70)&gt;0,"yes","")</f>
        <v/>
      </c>
    </row>
    <row r="71" customFormat="false" ht="15" hidden="false" customHeight="false" outlineLevel="0" collapsed="false">
      <c r="A71" s="6" t="s">
        <v>430</v>
      </c>
      <c r="B71" s="7" t="s">
        <v>431</v>
      </c>
      <c r="C71" s="7" t="s">
        <v>432</v>
      </c>
      <c r="D71" s="7" t="s">
        <v>45</v>
      </c>
      <c r="E71" s="7" t="s">
        <v>86</v>
      </c>
      <c r="F71" s="7" t="s">
        <v>78</v>
      </c>
      <c r="G71" s="7" t="n">
        <v>3</v>
      </c>
      <c r="H71" s="7" t="n">
        <v>4</v>
      </c>
      <c r="I71" s="7" t="n">
        <v>5</v>
      </c>
      <c r="J71" s="7" t="s">
        <v>289</v>
      </c>
      <c r="K71" s="7" t="n">
        <v>4</v>
      </c>
      <c r="L71" s="7"/>
      <c r="M71" s="7"/>
      <c r="N71" s="7"/>
      <c r="O71" s="7"/>
      <c r="P71" s="7" t="n">
        <v>5</v>
      </c>
      <c r="Q71" s="7" t="s">
        <v>81</v>
      </c>
      <c r="R71" s="7" t="s">
        <v>60</v>
      </c>
      <c r="S71" s="7" t="s">
        <v>433</v>
      </c>
      <c r="T71" s="7" t="n">
        <v>3</v>
      </c>
      <c r="U71" s="6" t="n">
        <f aca="false">ROUND(2*T71^2*IF(D71="Rare Active",6,IF(D71="Workhorse",2,1))+(K71+M71+O71)/2,0)</f>
        <v>20</v>
      </c>
      <c r="V71" s="7" t="n">
        <v>120</v>
      </c>
      <c r="W71" s="6" t="str">
        <f aca="false">IF(COUNTIF(Plants!$A$2:$A$1000,C71)&gt;0,"yes","")</f>
        <v/>
      </c>
    </row>
    <row r="72" customFormat="false" ht="15" hidden="false" customHeight="false" outlineLevel="0" collapsed="false">
      <c r="A72" s="6" t="s">
        <v>434</v>
      </c>
      <c r="B72" s="7" t="s">
        <v>435</v>
      </c>
      <c r="C72" s="7" t="s">
        <v>436</v>
      </c>
      <c r="D72" s="7" t="s">
        <v>45</v>
      </c>
      <c r="E72" s="7" t="s">
        <v>86</v>
      </c>
      <c r="F72" s="7" t="s">
        <v>78</v>
      </c>
      <c r="G72" s="7" t="n">
        <v>3</v>
      </c>
      <c r="H72" s="7" t="n">
        <v>4</v>
      </c>
      <c r="I72" s="7" t="n">
        <v>5</v>
      </c>
      <c r="J72" s="7" t="s">
        <v>113</v>
      </c>
      <c r="K72" s="7" t="n">
        <v>2</v>
      </c>
      <c r="L72" s="7"/>
      <c r="M72" s="7"/>
      <c r="N72" s="7"/>
      <c r="O72" s="7"/>
      <c r="P72" s="7" t="n">
        <v>0</v>
      </c>
      <c r="Q72" s="7" t="s">
        <v>437</v>
      </c>
      <c r="R72" s="7" t="s">
        <v>438</v>
      </c>
      <c r="S72" s="7" t="s">
        <v>439</v>
      </c>
      <c r="T72" s="7" t="n">
        <v>2</v>
      </c>
      <c r="U72" s="6" t="n">
        <f aca="false">ROUND(2*T72^2*IF(D72="Rare Active",6,IF(D72="Workhorse",2,1))+(K72+M72+O72)/2,0)</f>
        <v>9</v>
      </c>
      <c r="V72" s="7" t="n">
        <v>120</v>
      </c>
      <c r="W72" s="6" t="str">
        <f aca="false">IF(COUNTIF(Plants!$A$2:$A$1000,C72)&gt;0,"yes","")</f>
        <v/>
      </c>
    </row>
    <row r="73" customFormat="false" ht="15" hidden="false" customHeight="false" outlineLevel="0" collapsed="false">
      <c r="A73" s="6" t="s">
        <v>440</v>
      </c>
      <c r="B73" s="7" t="s">
        <v>441</v>
      </c>
      <c r="C73" s="7" t="s">
        <v>442</v>
      </c>
      <c r="D73" s="7" t="s">
        <v>77</v>
      </c>
      <c r="E73" s="7" t="s">
        <v>86</v>
      </c>
      <c r="F73" s="7" t="s">
        <v>443</v>
      </c>
      <c r="G73" s="7" t="n">
        <v>4</v>
      </c>
      <c r="H73" s="7" t="n">
        <v>5</v>
      </c>
      <c r="I73" s="7" t="n">
        <v>7</v>
      </c>
      <c r="J73" s="7" t="s">
        <v>113</v>
      </c>
      <c r="K73" s="7" t="n">
        <v>4</v>
      </c>
      <c r="L73" s="7" t="s">
        <v>48</v>
      </c>
      <c r="M73" s="7" t="n">
        <v>2</v>
      </c>
      <c r="N73" s="7"/>
      <c r="O73" s="7"/>
      <c r="P73" s="7" t="n">
        <v>0</v>
      </c>
      <c r="Q73" s="7" t="s">
        <v>444</v>
      </c>
      <c r="R73" s="7" t="s">
        <v>445</v>
      </c>
      <c r="S73" s="7" t="s">
        <v>446</v>
      </c>
      <c r="T73" s="7" t="n">
        <v>4</v>
      </c>
      <c r="U73" s="6" t="n">
        <f aca="false">ROUND(2*T73^2*IF(D73="Rare Active",6,IF(D73="Workhorse",2,1))+(K73+M73+O73)/2,0)</f>
        <v>67</v>
      </c>
      <c r="V73" s="7" t="n">
        <v>60</v>
      </c>
      <c r="W73" s="6" t="str">
        <f aca="false">IF(COUNTIF(Plants!$A$2:$A$1000,C73)&gt;0,"yes","")</f>
        <v/>
      </c>
    </row>
    <row r="74" customFormat="false" ht="15" hidden="false" customHeight="false" outlineLevel="0" collapsed="false">
      <c r="A74" s="6" t="s">
        <v>447</v>
      </c>
      <c r="B74" s="7" t="s">
        <v>448</v>
      </c>
      <c r="C74" s="7" t="s">
        <v>449</v>
      </c>
      <c r="D74" s="7" t="s">
        <v>45</v>
      </c>
      <c r="E74" s="7" t="s">
        <v>107</v>
      </c>
      <c r="F74" s="7" t="s">
        <v>443</v>
      </c>
      <c r="G74" s="7" t="n">
        <v>4</v>
      </c>
      <c r="H74" s="7" t="n">
        <v>6</v>
      </c>
      <c r="I74" s="7" t="n">
        <v>7</v>
      </c>
      <c r="J74" s="7" t="s">
        <v>113</v>
      </c>
      <c r="K74" s="7" t="n">
        <v>3</v>
      </c>
      <c r="L74" s="7"/>
      <c r="M74" s="7"/>
      <c r="N74" s="7"/>
      <c r="O74" s="7"/>
      <c r="P74" s="7" t="n">
        <v>0</v>
      </c>
      <c r="Q74" s="7" t="s">
        <v>445</v>
      </c>
      <c r="R74" s="7" t="s">
        <v>445</v>
      </c>
      <c r="S74" s="7" t="s">
        <v>450</v>
      </c>
      <c r="T74" s="7" t="n">
        <v>1</v>
      </c>
      <c r="U74" s="6" t="n">
        <f aca="false">ROUND(2*T74^2*IF(D74="Rare Active",6,IF(D74="Workhorse",2,1))+(K74+M74+O74)/2,0)</f>
        <v>4</v>
      </c>
      <c r="V74" s="7" t="n">
        <v>60</v>
      </c>
      <c r="W74" s="6" t="str">
        <f aca="false">IF(COUNTIF(Plants!$A$2:$A$1000,C74)&gt;0,"yes","")</f>
        <v>yes</v>
      </c>
    </row>
    <row r="75" customFormat="false" ht="15" hidden="false" customHeight="false" outlineLevel="0" collapsed="false">
      <c r="A75" s="6" t="s">
        <v>451</v>
      </c>
      <c r="B75" s="7" t="s">
        <v>452</v>
      </c>
      <c r="C75" s="7" t="s">
        <v>453</v>
      </c>
      <c r="D75" s="7" t="s">
        <v>45</v>
      </c>
      <c r="E75" s="7" t="s">
        <v>86</v>
      </c>
      <c r="F75" s="7" t="s">
        <v>47</v>
      </c>
      <c r="G75" s="7" t="n">
        <v>3</v>
      </c>
      <c r="H75" s="7" t="n">
        <v>6</v>
      </c>
      <c r="I75" s="7" t="n">
        <v>6</v>
      </c>
      <c r="J75" s="7" t="s">
        <v>113</v>
      </c>
      <c r="K75" s="7" t="n">
        <v>3</v>
      </c>
      <c r="L75" s="7"/>
      <c r="M75" s="7"/>
      <c r="N75" s="7"/>
      <c r="O75" s="7"/>
      <c r="P75" s="7" t="n">
        <v>0</v>
      </c>
      <c r="Q75" s="7" t="s">
        <v>454</v>
      </c>
      <c r="R75" s="7" t="s">
        <v>445</v>
      </c>
      <c r="S75" s="7" t="s">
        <v>455</v>
      </c>
      <c r="T75" s="7" t="n">
        <v>1</v>
      </c>
      <c r="U75" s="6" t="n">
        <f aca="false">ROUND(2*T75^2*IF(D75="Rare Active",6,IF(D75="Workhorse",2,1))+(K75+M75+O75)/2,0)</f>
        <v>4</v>
      </c>
      <c r="V75" s="7" t="n">
        <v>45</v>
      </c>
      <c r="W75" s="6" t="str">
        <f aca="false">IF(COUNTIF(Plants!$A$2:$A$1000,C75)&gt;0,"yes","")</f>
        <v>yes</v>
      </c>
    </row>
    <row r="76" customFormat="false" ht="15" hidden="false" customHeight="false" outlineLevel="0" collapsed="false">
      <c r="A76" s="6" t="s">
        <v>456</v>
      </c>
      <c r="B76" s="7" t="s">
        <v>457</v>
      </c>
      <c r="C76" s="7" t="s">
        <v>458</v>
      </c>
      <c r="D76" s="7" t="s">
        <v>77</v>
      </c>
      <c r="E76" s="7" t="s">
        <v>146</v>
      </c>
      <c r="F76" s="7" t="s">
        <v>192</v>
      </c>
      <c r="G76" s="7" t="n">
        <v>10</v>
      </c>
      <c r="H76" s="7" t="n">
        <v>3</v>
      </c>
      <c r="I76" s="7" t="n">
        <v>9</v>
      </c>
      <c r="J76" s="7" t="s">
        <v>66</v>
      </c>
      <c r="K76" s="7" t="n">
        <v>7</v>
      </c>
      <c r="L76" s="7"/>
      <c r="M76" s="7"/>
      <c r="N76" s="7"/>
      <c r="O76" s="7"/>
      <c r="P76" s="7" t="n">
        <v>4</v>
      </c>
      <c r="Q76" s="7" t="s">
        <v>459</v>
      </c>
      <c r="R76" s="7" t="s">
        <v>459</v>
      </c>
      <c r="S76" s="7" t="s">
        <v>460</v>
      </c>
      <c r="T76" s="7" t="n">
        <v>3</v>
      </c>
      <c r="U76" s="6" t="n">
        <f aca="false">ROUND(2*T76^2*IF(D76="Rare Active",6,IF(D76="Workhorse",2,1))+(K76+M76+O76)/2,0)</f>
        <v>40</v>
      </c>
      <c r="V76" s="7" t="n">
        <v>240</v>
      </c>
      <c r="W76" s="6" t="str">
        <f aca="false">IF(COUNTIF(Plants!$A$2:$A$1000,C76)&gt;0,"yes","")</f>
        <v>yes</v>
      </c>
    </row>
    <row r="77" customFormat="false" ht="15" hidden="false" customHeight="false" outlineLevel="0" collapsed="false">
      <c r="A77" s="6" t="s">
        <v>461</v>
      </c>
      <c r="B77" s="7" t="s">
        <v>462</v>
      </c>
      <c r="C77" s="7" t="s">
        <v>463</v>
      </c>
      <c r="D77" s="7" t="s">
        <v>77</v>
      </c>
      <c r="E77" s="7" t="s">
        <v>93</v>
      </c>
      <c r="F77" s="7" t="s">
        <v>464</v>
      </c>
      <c r="G77" s="7" t="n">
        <v>1</v>
      </c>
      <c r="H77" s="7" t="n">
        <v>12</v>
      </c>
      <c r="I77" s="7" t="n">
        <v>9</v>
      </c>
      <c r="J77" s="7" t="s">
        <v>66</v>
      </c>
      <c r="K77" s="7" t="n">
        <v>5</v>
      </c>
      <c r="L77" s="7"/>
      <c r="M77" s="7"/>
      <c r="N77" s="7"/>
      <c r="O77" s="7"/>
      <c r="P77" s="7" t="n">
        <v>0</v>
      </c>
      <c r="Q77" s="7" t="s">
        <v>465</v>
      </c>
      <c r="R77" s="7" t="s">
        <v>466</v>
      </c>
      <c r="S77" s="7" t="s">
        <v>467</v>
      </c>
      <c r="T77" s="7" t="n">
        <v>3</v>
      </c>
      <c r="U77" s="6" t="n">
        <f aca="false">ROUND(2*T77^2*IF(D77="Rare Active",6,IF(D77="Workhorse",2,1))+(K77+M77+O77)/2,0)</f>
        <v>39</v>
      </c>
      <c r="V77" s="7" t="n">
        <v>200</v>
      </c>
      <c r="W77" s="6" t="str">
        <f aca="false">IF(COUNTIF(Plants!$A$2:$A$1000,C77)&gt;0,"yes","")</f>
        <v>yes</v>
      </c>
    </row>
    <row r="78" customFormat="false" ht="15" hidden="false" customHeight="false" outlineLevel="0" collapsed="false">
      <c r="A78" s="6" t="s">
        <v>468</v>
      </c>
      <c r="B78" s="7" t="s">
        <v>469</v>
      </c>
      <c r="C78" s="7" t="s">
        <v>463</v>
      </c>
      <c r="D78" s="7" t="s">
        <v>45</v>
      </c>
      <c r="E78" s="7" t="s">
        <v>93</v>
      </c>
      <c r="F78" s="7" t="s">
        <v>131</v>
      </c>
      <c r="G78" s="7" t="n">
        <v>9</v>
      </c>
      <c r="H78" s="7" t="n">
        <v>10</v>
      </c>
      <c r="I78" s="7" t="n">
        <v>0</v>
      </c>
      <c r="J78" s="7" t="s">
        <v>66</v>
      </c>
      <c r="K78" s="7" t="n">
        <v>5</v>
      </c>
      <c r="L78" s="7" t="s">
        <v>176</v>
      </c>
      <c r="M78" s="7" t="n">
        <v>1</v>
      </c>
      <c r="N78" s="7"/>
      <c r="O78" s="7"/>
      <c r="P78" s="7" t="n">
        <v>0</v>
      </c>
      <c r="Q78" s="7" t="s">
        <v>470</v>
      </c>
      <c r="R78" s="7" t="s">
        <v>379</v>
      </c>
      <c r="S78" s="7" t="s">
        <v>471</v>
      </c>
      <c r="T78" s="7" t="n">
        <v>3</v>
      </c>
      <c r="U78" s="6" t="n">
        <f aca="false">ROUND(2*T78^2*IF(D78="Rare Active",6,IF(D78="Workhorse",2,1))+(K78+M78+O78)/2,0)</f>
        <v>21</v>
      </c>
      <c r="V78" s="7" t="n">
        <v>10</v>
      </c>
      <c r="W78" s="6" t="str">
        <f aca="false">IF(COUNTIF(Plants!$A$2:$A$1000,C78)&gt;0,"yes","")</f>
        <v>yes</v>
      </c>
    </row>
    <row r="79" customFormat="false" ht="15" hidden="false" customHeight="false" outlineLevel="0" collapsed="false">
      <c r="A79" s="6" t="s">
        <v>472</v>
      </c>
      <c r="B79" s="7" t="s">
        <v>473</v>
      </c>
      <c r="C79" s="7" t="s">
        <v>474</v>
      </c>
      <c r="D79" s="7" t="s">
        <v>77</v>
      </c>
      <c r="E79" s="7" t="s">
        <v>93</v>
      </c>
      <c r="F79" s="7" t="s">
        <v>192</v>
      </c>
      <c r="G79" s="7" t="n">
        <v>3</v>
      </c>
      <c r="H79" s="7" t="n">
        <v>5</v>
      </c>
      <c r="I79" s="7" t="n">
        <v>0</v>
      </c>
      <c r="J79" s="7" t="s">
        <v>57</v>
      </c>
      <c r="K79" s="7" t="n">
        <v>9</v>
      </c>
      <c r="L79" s="7"/>
      <c r="M79" s="7"/>
      <c r="N79" s="7"/>
      <c r="O79" s="7"/>
      <c r="P79" s="7" t="n">
        <v>0</v>
      </c>
      <c r="Q79" s="7" t="s">
        <v>475</v>
      </c>
      <c r="R79" s="7" t="s">
        <v>476</v>
      </c>
      <c r="S79" s="7" t="s">
        <v>477</v>
      </c>
      <c r="T79" s="7" t="n">
        <v>4</v>
      </c>
      <c r="U79" s="6" t="n">
        <f aca="false">ROUND(2*T79^2*IF(D79="Rare Active",6,IF(D79="Workhorse",2,1))+(K79+M79+O79)/2,0)</f>
        <v>69</v>
      </c>
      <c r="V79" s="7" t="n">
        <v>240</v>
      </c>
      <c r="W79" s="6" t="str">
        <f aca="false">IF(COUNTIF(Plants!$A$2:$A$1000,C79)&gt;0,"yes","")</f>
        <v/>
      </c>
    </row>
    <row r="80" customFormat="false" ht="15" hidden="false" customHeight="false" outlineLevel="0" collapsed="false">
      <c r="A80" s="6" t="s">
        <v>478</v>
      </c>
      <c r="B80" s="7" t="s">
        <v>479</v>
      </c>
      <c r="C80" s="7" t="s">
        <v>480</v>
      </c>
      <c r="D80" s="7" t="s">
        <v>77</v>
      </c>
      <c r="E80" s="7" t="s">
        <v>139</v>
      </c>
      <c r="F80" s="7" t="s">
        <v>192</v>
      </c>
      <c r="G80" s="7" t="n">
        <v>3</v>
      </c>
      <c r="H80" s="7" t="n">
        <v>5</v>
      </c>
      <c r="I80" s="7" t="n">
        <v>0</v>
      </c>
      <c r="J80" s="7" t="s">
        <v>113</v>
      </c>
      <c r="K80" s="7" t="n">
        <v>6</v>
      </c>
      <c r="L80" s="7" t="s">
        <v>108</v>
      </c>
      <c r="M80" s="7" t="n">
        <v>4</v>
      </c>
      <c r="N80" s="7"/>
      <c r="O80" s="7"/>
      <c r="P80" s="7" t="n">
        <v>1</v>
      </c>
      <c r="Q80" s="7" t="s">
        <v>81</v>
      </c>
      <c r="R80" s="7" t="s">
        <v>194</v>
      </c>
      <c r="S80" s="7" t="s">
        <v>481</v>
      </c>
      <c r="T80" s="7" t="n">
        <v>2</v>
      </c>
      <c r="U80" s="6" t="n">
        <f aca="false">ROUND(2*T80^2*IF(D80="Rare Active",6,IF(D80="Workhorse",2,1))+(K80+M80+O80)/2,0)</f>
        <v>21</v>
      </c>
      <c r="V80" s="7" t="n">
        <v>240</v>
      </c>
      <c r="W80" s="6" t="str">
        <f aca="false">IF(COUNTIF(Plants!$A$2:$A$1000,C80)&gt;0,"yes","")</f>
        <v/>
      </c>
    </row>
    <row r="81" customFormat="false" ht="15" hidden="false" customHeight="false" outlineLevel="0" collapsed="false">
      <c r="A81" s="6" t="s">
        <v>482</v>
      </c>
      <c r="B81" s="7" t="s">
        <v>483</v>
      </c>
      <c r="C81" s="7" t="s">
        <v>484</v>
      </c>
      <c r="D81" s="7" t="s">
        <v>77</v>
      </c>
      <c r="E81" s="7" t="s">
        <v>146</v>
      </c>
      <c r="F81" s="7" t="s">
        <v>192</v>
      </c>
      <c r="G81" s="7" t="n">
        <v>9</v>
      </c>
      <c r="H81" s="7" t="n">
        <v>11</v>
      </c>
      <c r="I81" s="7" t="n">
        <v>8</v>
      </c>
      <c r="J81" s="7" t="s">
        <v>113</v>
      </c>
      <c r="K81" s="7" t="n">
        <v>6</v>
      </c>
      <c r="L81" s="7" t="s">
        <v>108</v>
      </c>
      <c r="M81" s="7" t="n">
        <v>2</v>
      </c>
      <c r="N81" s="7"/>
      <c r="O81" s="7"/>
      <c r="P81" s="7" t="n">
        <v>5</v>
      </c>
      <c r="Q81" s="7" t="s">
        <v>485</v>
      </c>
      <c r="R81" s="7" t="s">
        <v>486</v>
      </c>
      <c r="S81" s="7" t="s">
        <v>487</v>
      </c>
      <c r="T81" s="7" t="n">
        <v>3</v>
      </c>
      <c r="U81" s="6" t="n">
        <f aca="false">ROUND(2*T81^2*IF(D81="Rare Active",6,IF(D81="Workhorse",2,1))+(K81+M81+O81)/2,0)</f>
        <v>40</v>
      </c>
      <c r="V81" s="7" t="n">
        <v>240</v>
      </c>
      <c r="W81" s="6" t="str">
        <f aca="false">IF(COUNTIF(Plants!$A$2:$A$1000,C81)&gt;0,"yes","")</f>
        <v>yes</v>
      </c>
    </row>
    <row r="82" customFormat="false" ht="15" hidden="false" customHeight="false" outlineLevel="0" collapsed="false">
      <c r="A82" s="6" t="s">
        <v>488</v>
      </c>
      <c r="B82" s="7" t="s">
        <v>489</v>
      </c>
      <c r="C82" s="7" t="s">
        <v>484</v>
      </c>
      <c r="D82" s="7" t="s">
        <v>45</v>
      </c>
      <c r="E82" s="7" t="s">
        <v>146</v>
      </c>
      <c r="F82" s="7" t="s">
        <v>131</v>
      </c>
      <c r="G82" s="7" t="n">
        <v>8</v>
      </c>
      <c r="H82" s="7" t="n">
        <v>9</v>
      </c>
      <c r="I82" s="7" t="n">
        <v>0</v>
      </c>
      <c r="J82" s="7" t="s">
        <v>48</v>
      </c>
      <c r="K82" s="7" t="n">
        <v>4</v>
      </c>
      <c r="L82" s="7" t="s">
        <v>132</v>
      </c>
      <c r="M82" s="7" t="n">
        <v>3</v>
      </c>
      <c r="N82" s="7"/>
      <c r="O82" s="7"/>
      <c r="P82" s="7" t="n">
        <v>1</v>
      </c>
      <c r="Q82" s="7" t="s">
        <v>405</v>
      </c>
      <c r="R82" s="7" t="s">
        <v>490</v>
      </c>
      <c r="S82" s="7" t="s">
        <v>491</v>
      </c>
      <c r="T82" s="7" t="n">
        <v>3</v>
      </c>
      <c r="U82" s="6" t="n">
        <f aca="false">ROUND(2*T82^2*IF(D82="Rare Active",6,IF(D82="Workhorse",2,1))+(K82+M82+O82)/2,0)</f>
        <v>22</v>
      </c>
      <c r="V82" s="7" t="n">
        <v>10</v>
      </c>
      <c r="W82" s="6" t="str">
        <f aca="false">IF(COUNTIF(Plants!$A$2:$A$1000,C82)&gt;0,"yes","")</f>
        <v>yes</v>
      </c>
    </row>
    <row r="83" customFormat="false" ht="15" hidden="false" customHeight="false" outlineLevel="0" collapsed="false">
      <c r="A83" s="6" t="s">
        <v>492</v>
      </c>
      <c r="B83" s="7" t="s">
        <v>493</v>
      </c>
      <c r="C83" s="7" t="s">
        <v>494</v>
      </c>
      <c r="D83" s="7" t="s">
        <v>77</v>
      </c>
      <c r="E83" s="7" t="s">
        <v>86</v>
      </c>
      <c r="F83" s="7" t="s">
        <v>192</v>
      </c>
      <c r="G83" s="7" t="n">
        <v>10</v>
      </c>
      <c r="H83" s="7" t="n">
        <v>12</v>
      </c>
      <c r="I83" s="7" t="n">
        <v>10</v>
      </c>
      <c r="J83" s="7" t="s">
        <v>108</v>
      </c>
      <c r="K83" s="7" t="n">
        <v>7</v>
      </c>
      <c r="L83" s="7"/>
      <c r="M83" s="7"/>
      <c r="N83" s="7"/>
      <c r="O83" s="7"/>
      <c r="P83" s="7" t="n">
        <v>0</v>
      </c>
      <c r="Q83" s="7" t="s">
        <v>152</v>
      </c>
      <c r="R83" s="7" t="s">
        <v>60</v>
      </c>
      <c r="S83" s="7" t="s">
        <v>495</v>
      </c>
      <c r="T83" s="7" t="n">
        <v>3</v>
      </c>
      <c r="U83" s="6" t="n">
        <f aca="false">ROUND(2*T83^2*IF(D83="Rare Active",6,IF(D83="Workhorse",2,1))+(K83+M83+O83)/2,0)</f>
        <v>40</v>
      </c>
      <c r="V83" s="7" t="n">
        <v>240</v>
      </c>
      <c r="W83" s="6" t="str">
        <f aca="false">IF(COUNTIF(Plants!$A$2:$A$1000,C83)&gt;0,"yes","")</f>
        <v/>
      </c>
    </row>
    <row r="84" customFormat="false" ht="15" hidden="false" customHeight="false" outlineLevel="0" collapsed="false">
      <c r="A84" s="6" t="s">
        <v>496</v>
      </c>
      <c r="B84" s="7" t="s">
        <v>497</v>
      </c>
      <c r="C84" s="7" t="s">
        <v>498</v>
      </c>
      <c r="D84" s="7" t="s">
        <v>45</v>
      </c>
      <c r="E84" s="7" t="s">
        <v>146</v>
      </c>
      <c r="F84" s="7" t="s">
        <v>131</v>
      </c>
      <c r="G84" s="7" t="n">
        <v>8</v>
      </c>
      <c r="H84" s="7" t="n">
        <v>10</v>
      </c>
      <c r="I84" s="7" t="n">
        <v>0</v>
      </c>
      <c r="J84" s="7" t="s">
        <v>49</v>
      </c>
      <c r="K84" s="7" t="n">
        <v>6</v>
      </c>
      <c r="L84" s="7" t="s">
        <v>108</v>
      </c>
      <c r="M84" s="7" t="n">
        <v>4</v>
      </c>
      <c r="N84" s="7"/>
      <c r="O84" s="7"/>
      <c r="P84" s="7" t="n">
        <v>0</v>
      </c>
      <c r="Q84" s="7" t="s">
        <v>499</v>
      </c>
      <c r="R84" s="7" t="s">
        <v>140</v>
      </c>
      <c r="S84" s="7" t="s">
        <v>500</v>
      </c>
      <c r="T84" s="7" t="n">
        <v>2</v>
      </c>
      <c r="U84" s="6" t="n">
        <f aca="false">ROUND(2*T84^2*IF(D84="Rare Active",6,IF(D84="Workhorse",2,1))+(K84+M84+O84)/2,0)</f>
        <v>13</v>
      </c>
      <c r="V84" s="7" t="n">
        <v>10</v>
      </c>
      <c r="W84" s="6" t="str">
        <f aca="false">IF(COUNTIF(Plants!$A$2:$A$1000,C84)&gt;0,"yes","")</f>
        <v/>
      </c>
    </row>
    <row r="85" customFormat="false" ht="15" hidden="false" customHeight="false" outlineLevel="0" collapsed="false">
      <c r="A85" s="6" t="s">
        <v>501</v>
      </c>
      <c r="B85" s="7" t="s">
        <v>502</v>
      </c>
      <c r="C85" s="7" t="s">
        <v>503</v>
      </c>
      <c r="D85" s="7" t="s">
        <v>45</v>
      </c>
      <c r="E85" s="7" t="s">
        <v>107</v>
      </c>
      <c r="F85" s="7" t="s">
        <v>47</v>
      </c>
      <c r="G85" s="7" t="n">
        <v>9</v>
      </c>
      <c r="H85" s="7" t="n">
        <v>10</v>
      </c>
      <c r="I85" s="7" t="n">
        <v>0</v>
      </c>
      <c r="J85" s="7" t="s">
        <v>108</v>
      </c>
      <c r="K85" s="7" t="n">
        <v>7</v>
      </c>
      <c r="L85" s="7" t="s">
        <v>114</v>
      </c>
      <c r="M85" s="7" t="n">
        <v>3</v>
      </c>
      <c r="N85" s="7"/>
      <c r="O85" s="7"/>
      <c r="P85" s="7" t="n">
        <v>0</v>
      </c>
      <c r="Q85" s="7" t="s">
        <v>152</v>
      </c>
      <c r="R85" s="7" t="s">
        <v>60</v>
      </c>
      <c r="S85" s="7" t="s">
        <v>504</v>
      </c>
      <c r="T85" s="7" t="n">
        <v>2</v>
      </c>
      <c r="U85" s="6" t="n">
        <f aca="false">ROUND(2*T85^2*IF(D85="Rare Active",6,IF(D85="Workhorse",2,1))+(K85+M85+O85)/2,0)</f>
        <v>13</v>
      </c>
      <c r="V85" s="7" t="n">
        <v>45</v>
      </c>
      <c r="W85" s="6" t="str">
        <f aca="false">IF(COUNTIF(Plants!$A$2:$A$1000,C85)&gt;0,"yes","")</f>
        <v>yes</v>
      </c>
    </row>
    <row r="86" customFormat="false" ht="15" hidden="false" customHeight="false" outlineLevel="0" collapsed="false">
      <c r="A86" s="6" t="s">
        <v>505</v>
      </c>
      <c r="B86" s="7" t="s">
        <v>506</v>
      </c>
      <c r="C86" s="7" t="s">
        <v>507</v>
      </c>
      <c r="D86" s="7" t="s">
        <v>45</v>
      </c>
      <c r="E86" s="7" t="s">
        <v>93</v>
      </c>
      <c r="F86" s="7" t="s">
        <v>47</v>
      </c>
      <c r="G86" s="7" t="n">
        <v>5</v>
      </c>
      <c r="H86" s="7" t="n">
        <v>9</v>
      </c>
      <c r="I86" s="7" t="n">
        <v>0</v>
      </c>
      <c r="J86" s="7" t="s">
        <v>176</v>
      </c>
      <c r="K86" s="7" t="n">
        <v>8</v>
      </c>
      <c r="L86" s="7"/>
      <c r="M86" s="7"/>
      <c r="N86" s="7"/>
      <c r="O86" s="7"/>
      <c r="P86" s="7" t="n">
        <v>7</v>
      </c>
      <c r="Q86" s="7" t="s">
        <v>508</v>
      </c>
      <c r="R86" s="7" t="s">
        <v>102</v>
      </c>
      <c r="S86" s="7" t="s">
        <v>509</v>
      </c>
      <c r="T86" s="7" t="n">
        <v>1</v>
      </c>
      <c r="U86" s="6" t="n">
        <f aca="false">ROUND(2*T86^2*IF(D86="Rare Active",6,IF(D86="Workhorse",2,1))+(K86+M86+O86)/2,0)</f>
        <v>6</v>
      </c>
      <c r="V86" s="7" t="n">
        <v>45</v>
      </c>
      <c r="W86" s="6" t="str">
        <f aca="false">IF(COUNTIF(Plants!$A$2:$A$1000,C86)&gt;0,"yes","")</f>
        <v>yes</v>
      </c>
    </row>
    <row r="87" customFormat="false" ht="15" hidden="false" customHeight="false" outlineLevel="0" collapsed="false">
      <c r="A87" s="6" t="s">
        <v>510</v>
      </c>
      <c r="B87" s="7" t="s">
        <v>511</v>
      </c>
      <c r="C87" s="7" t="s">
        <v>512</v>
      </c>
      <c r="D87" s="7" t="s">
        <v>77</v>
      </c>
      <c r="E87" s="7" t="s">
        <v>139</v>
      </c>
      <c r="F87" s="7" t="s">
        <v>131</v>
      </c>
      <c r="G87" s="7" t="n">
        <v>8</v>
      </c>
      <c r="H87" s="7" t="n">
        <v>9</v>
      </c>
      <c r="I87" s="7" t="n">
        <v>9</v>
      </c>
      <c r="J87" s="7" t="s">
        <v>132</v>
      </c>
      <c r="K87" s="7" t="n">
        <v>6</v>
      </c>
      <c r="L87" s="7" t="s">
        <v>65</v>
      </c>
      <c r="M87" s="7" t="n">
        <v>4</v>
      </c>
      <c r="N87" s="7"/>
      <c r="O87" s="7"/>
      <c r="P87" s="7" t="n">
        <v>2</v>
      </c>
      <c r="Q87" s="7" t="s">
        <v>140</v>
      </c>
      <c r="R87" s="7" t="s">
        <v>141</v>
      </c>
      <c r="S87" s="7" t="s">
        <v>513</v>
      </c>
      <c r="T87" s="7" t="n">
        <v>2</v>
      </c>
      <c r="U87" s="6" t="n">
        <f aca="false">ROUND(2*T87^2*IF(D87="Rare Active",6,IF(D87="Workhorse",2,1))+(K87+M87+O87)/2,0)</f>
        <v>21</v>
      </c>
      <c r="V87" s="7" t="n">
        <v>10</v>
      </c>
      <c r="W87" s="6" t="str">
        <f aca="false">IF(COUNTIF(Plants!$A$2:$A$1000,C87)&gt;0,"yes","")</f>
        <v>yes</v>
      </c>
    </row>
    <row r="88" customFormat="false" ht="15" hidden="false" customHeight="false" outlineLevel="0" collapsed="false">
      <c r="A88" s="6" t="s">
        <v>514</v>
      </c>
      <c r="B88" s="7" t="s">
        <v>515</v>
      </c>
      <c r="C88" s="7" t="s">
        <v>512</v>
      </c>
      <c r="D88" s="7" t="s">
        <v>77</v>
      </c>
      <c r="E88" s="7" t="s">
        <v>139</v>
      </c>
      <c r="F88" s="7" t="s">
        <v>120</v>
      </c>
      <c r="G88" s="7" t="n">
        <v>6</v>
      </c>
      <c r="H88" s="7" t="n">
        <v>7</v>
      </c>
      <c r="I88" s="7" t="n">
        <v>0</v>
      </c>
      <c r="J88" s="7" t="s">
        <v>65</v>
      </c>
      <c r="K88" s="7" t="n">
        <v>5</v>
      </c>
      <c r="L88" s="7" t="s">
        <v>66</v>
      </c>
      <c r="M88" s="7" t="n">
        <v>2</v>
      </c>
      <c r="N88" s="7"/>
      <c r="O88" s="7"/>
      <c r="P88" s="7" t="n">
        <v>0</v>
      </c>
      <c r="Q88" s="7" t="s">
        <v>516</v>
      </c>
      <c r="R88" s="7" t="s">
        <v>517</v>
      </c>
      <c r="S88" s="7" t="s">
        <v>518</v>
      </c>
      <c r="T88" s="7" t="n">
        <v>2</v>
      </c>
      <c r="U88" s="6" t="n">
        <f aca="false">ROUND(2*T88^2*IF(D88="Rare Active",6,IF(D88="Workhorse",2,1))+(K88+M88+O88)/2,0)</f>
        <v>20</v>
      </c>
      <c r="V88" s="7" t="n">
        <v>30</v>
      </c>
      <c r="W88" s="6" t="str">
        <f aca="false">IF(COUNTIF(Plants!$A$2:$A$1000,C88)&gt;0,"yes","")</f>
        <v>yes</v>
      </c>
    </row>
    <row r="89" customFormat="false" ht="15" hidden="false" customHeight="false" outlineLevel="0" collapsed="false">
      <c r="A89" s="6" t="s">
        <v>519</v>
      </c>
      <c r="B89" s="7" t="s">
        <v>520</v>
      </c>
      <c r="C89" s="7" t="s">
        <v>521</v>
      </c>
      <c r="D89" s="7" t="s">
        <v>77</v>
      </c>
      <c r="E89" s="7" t="s">
        <v>146</v>
      </c>
      <c r="F89" s="7" t="s">
        <v>131</v>
      </c>
      <c r="G89" s="7" t="n">
        <v>9</v>
      </c>
      <c r="H89" s="7" t="n">
        <v>10</v>
      </c>
      <c r="I89" s="7" t="n">
        <v>10</v>
      </c>
      <c r="J89" s="7" t="s">
        <v>65</v>
      </c>
      <c r="K89" s="7" t="n">
        <v>6</v>
      </c>
      <c r="L89" s="7" t="s">
        <v>49</v>
      </c>
      <c r="M89" s="7" t="n">
        <v>2</v>
      </c>
      <c r="N89" s="7"/>
      <c r="O89" s="7"/>
      <c r="P89" s="7" t="n">
        <v>0</v>
      </c>
      <c r="Q89" s="7" t="s">
        <v>522</v>
      </c>
      <c r="R89" s="7" t="s">
        <v>523</v>
      </c>
      <c r="S89" s="7" t="s">
        <v>524</v>
      </c>
      <c r="T89" s="7" t="n">
        <v>3</v>
      </c>
      <c r="U89" s="6" t="n">
        <f aca="false">ROUND(2*T89^2*IF(D89="Rare Active",6,IF(D89="Workhorse",2,1))+(K89+M89+O89)/2,0)</f>
        <v>40</v>
      </c>
      <c r="V89" s="7" t="n">
        <v>10</v>
      </c>
      <c r="W89" s="6" t="str">
        <f aca="false">IF(COUNTIF(Plants!$A$2:$A$1000,C89)&gt;0,"yes","")</f>
        <v>yes</v>
      </c>
    </row>
    <row r="90" customFormat="false" ht="15" hidden="false" customHeight="false" outlineLevel="0" collapsed="false">
      <c r="A90" s="6" t="s">
        <v>525</v>
      </c>
      <c r="B90" s="7" t="s">
        <v>526</v>
      </c>
      <c r="C90" s="7" t="s">
        <v>527</v>
      </c>
      <c r="D90" s="7" t="s">
        <v>77</v>
      </c>
      <c r="E90" s="7" t="s">
        <v>107</v>
      </c>
      <c r="F90" s="7" t="s">
        <v>131</v>
      </c>
      <c r="G90" s="7" t="n">
        <v>9</v>
      </c>
      <c r="H90" s="7" t="n">
        <v>12</v>
      </c>
      <c r="I90" s="7" t="n">
        <v>10</v>
      </c>
      <c r="J90" s="7" t="s">
        <v>49</v>
      </c>
      <c r="K90" s="7" t="n">
        <v>5</v>
      </c>
      <c r="L90" s="7" t="s">
        <v>65</v>
      </c>
      <c r="M90" s="7" t="n">
        <v>3</v>
      </c>
      <c r="N90" s="7" t="s">
        <v>48</v>
      </c>
      <c r="O90" s="7" t="n">
        <v>2</v>
      </c>
      <c r="P90" s="7" t="n">
        <v>0</v>
      </c>
      <c r="Q90" s="7" t="s">
        <v>140</v>
      </c>
      <c r="R90" s="7" t="s">
        <v>134</v>
      </c>
      <c r="S90" s="7" t="s">
        <v>528</v>
      </c>
      <c r="T90" s="7" t="n">
        <v>2</v>
      </c>
      <c r="U90" s="6" t="n">
        <f aca="false">ROUND(2*T90^2*IF(D90="Rare Active",6,IF(D90="Workhorse",2,1))+(K90+M90+O90)/2,0)</f>
        <v>21</v>
      </c>
      <c r="V90" s="7" t="n">
        <v>10</v>
      </c>
      <c r="W90" s="6" t="str">
        <f aca="false">IF(COUNTIF(Plants!$A$2:$A$1000,C90)&gt;0,"yes","")</f>
        <v>yes</v>
      </c>
    </row>
    <row r="91" customFormat="false" ht="15" hidden="false" customHeight="false" outlineLevel="0" collapsed="false">
      <c r="A91" s="6" t="s">
        <v>529</v>
      </c>
      <c r="B91" s="7" t="s">
        <v>530</v>
      </c>
      <c r="C91" s="7" t="s">
        <v>527</v>
      </c>
      <c r="D91" s="7" t="s">
        <v>45</v>
      </c>
      <c r="E91" s="7" t="s">
        <v>107</v>
      </c>
      <c r="F91" s="7" t="s">
        <v>120</v>
      </c>
      <c r="G91" s="7" t="n">
        <v>6</v>
      </c>
      <c r="H91" s="7" t="n">
        <v>7</v>
      </c>
      <c r="I91" s="7" t="n">
        <v>0</v>
      </c>
      <c r="J91" s="7" t="s">
        <v>66</v>
      </c>
      <c r="K91" s="7" t="n">
        <v>3</v>
      </c>
      <c r="L91" s="7" t="s">
        <v>108</v>
      </c>
      <c r="M91" s="7" t="n">
        <v>2</v>
      </c>
      <c r="N91" s="7"/>
      <c r="O91" s="7"/>
      <c r="P91" s="7" t="n">
        <v>0</v>
      </c>
      <c r="Q91" s="7" t="s">
        <v>516</v>
      </c>
      <c r="R91" s="7" t="s">
        <v>531</v>
      </c>
      <c r="S91" s="7" t="s">
        <v>532</v>
      </c>
      <c r="T91" s="7" t="n">
        <v>2</v>
      </c>
      <c r="U91" s="6" t="n">
        <f aca="false">ROUND(2*T91^2*IF(D91="Rare Active",6,IF(D91="Workhorse",2,1))+(K91+M91+O91)/2,0)</f>
        <v>11</v>
      </c>
      <c r="V91" s="7" t="n">
        <v>30</v>
      </c>
      <c r="W91" s="6" t="str">
        <f aca="false">IF(COUNTIF(Plants!$A$2:$A$1000,C91)&gt;0,"yes","")</f>
        <v>yes</v>
      </c>
    </row>
    <row r="92" customFormat="false" ht="15" hidden="false" customHeight="false" outlineLevel="0" collapsed="false">
      <c r="A92" s="6" t="s">
        <v>533</v>
      </c>
      <c r="B92" s="7" t="s">
        <v>534</v>
      </c>
      <c r="C92" s="7" t="s">
        <v>535</v>
      </c>
      <c r="D92" s="7" t="s">
        <v>77</v>
      </c>
      <c r="E92" s="7" t="s">
        <v>86</v>
      </c>
      <c r="F92" s="7" t="s">
        <v>120</v>
      </c>
      <c r="G92" s="7" t="n">
        <v>6</v>
      </c>
      <c r="H92" s="7" t="n">
        <v>7</v>
      </c>
      <c r="I92" s="7" t="n">
        <v>0</v>
      </c>
      <c r="J92" s="7" t="s">
        <v>57</v>
      </c>
      <c r="K92" s="7" t="n">
        <v>4</v>
      </c>
      <c r="L92" s="7" t="s">
        <v>66</v>
      </c>
      <c r="M92" s="7" t="n">
        <v>2</v>
      </c>
      <c r="N92" s="7" t="s">
        <v>65</v>
      </c>
      <c r="O92" s="7" t="n">
        <v>2</v>
      </c>
      <c r="P92" s="7" t="n">
        <v>0</v>
      </c>
      <c r="Q92" s="7" t="s">
        <v>122</v>
      </c>
      <c r="R92" s="7" t="s">
        <v>536</v>
      </c>
      <c r="S92" s="7" t="s">
        <v>537</v>
      </c>
      <c r="T92" s="7" t="n">
        <v>3</v>
      </c>
      <c r="U92" s="6" t="n">
        <f aca="false">ROUND(2*T92^2*IF(D92="Rare Active",6,IF(D92="Workhorse",2,1))+(K92+M92+O92)/2,0)</f>
        <v>40</v>
      </c>
      <c r="V92" s="7" t="n">
        <v>30</v>
      </c>
      <c r="W92" s="6" t="str">
        <f aca="false">IF(COUNTIF(Plants!$A$2:$A$1000,C92)&gt;0,"yes","")</f>
        <v/>
      </c>
    </row>
    <row r="93" customFormat="false" ht="15" hidden="false" customHeight="false" outlineLevel="0" collapsed="false">
      <c r="A93" s="6" t="s">
        <v>538</v>
      </c>
      <c r="B93" s="7" t="s">
        <v>539</v>
      </c>
      <c r="C93" s="7" t="s">
        <v>540</v>
      </c>
      <c r="D93" s="7" t="s">
        <v>77</v>
      </c>
      <c r="E93" s="7" t="s">
        <v>541</v>
      </c>
      <c r="F93" s="7" t="s">
        <v>47</v>
      </c>
      <c r="G93" s="7" t="n">
        <v>6</v>
      </c>
      <c r="H93" s="7" t="n">
        <v>9</v>
      </c>
      <c r="I93" s="7" t="n">
        <v>9</v>
      </c>
      <c r="J93" s="7" t="s">
        <v>66</v>
      </c>
      <c r="K93" s="7" t="n">
        <v>5</v>
      </c>
      <c r="L93" s="7"/>
      <c r="M93" s="7"/>
      <c r="N93" s="7"/>
      <c r="O93" s="7"/>
      <c r="P93" s="7" t="n">
        <v>0</v>
      </c>
      <c r="Q93" s="7" t="s">
        <v>542</v>
      </c>
      <c r="R93" s="7" t="s">
        <v>543</v>
      </c>
      <c r="S93" s="7" t="s">
        <v>544</v>
      </c>
      <c r="T93" s="7" t="n">
        <v>1</v>
      </c>
      <c r="U93" s="6" t="n">
        <f aca="false">ROUND(2*T93^2*IF(D93="Rare Active",6,IF(D93="Workhorse",2,1))+(K93+M93+O93)/2,0)</f>
        <v>7</v>
      </c>
      <c r="V93" s="7" t="n">
        <v>45</v>
      </c>
      <c r="W93" s="6" t="str">
        <f aca="false">IF(COUNTIF(Plants!$A$2:$A$1000,C93)&gt;0,"yes","")</f>
        <v>yes</v>
      </c>
    </row>
    <row r="94" customFormat="false" ht="15" hidden="false" customHeight="false" outlineLevel="0" collapsed="false">
      <c r="A94" s="6" t="s">
        <v>545</v>
      </c>
      <c r="B94" s="7" t="s">
        <v>546</v>
      </c>
      <c r="C94" s="7" t="s">
        <v>547</v>
      </c>
      <c r="D94" s="7" t="s">
        <v>77</v>
      </c>
      <c r="E94" s="7" t="s">
        <v>541</v>
      </c>
      <c r="F94" s="7" t="s">
        <v>47</v>
      </c>
      <c r="G94" s="7" t="n">
        <v>6</v>
      </c>
      <c r="H94" s="7" t="n">
        <v>8</v>
      </c>
      <c r="I94" s="7" t="n">
        <v>9</v>
      </c>
      <c r="J94" s="7" t="s">
        <v>79</v>
      </c>
      <c r="K94" s="7" t="n">
        <v>6</v>
      </c>
      <c r="L94" s="7" t="s">
        <v>289</v>
      </c>
      <c r="M94" s="7" t="n">
        <v>2</v>
      </c>
      <c r="N94" s="7"/>
      <c r="O94" s="7"/>
      <c r="P94" s="7" t="n">
        <v>0</v>
      </c>
      <c r="Q94" s="7" t="s">
        <v>548</v>
      </c>
      <c r="R94" s="7" t="s">
        <v>291</v>
      </c>
      <c r="S94" s="7" t="s">
        <v>549</v>
      </c>
      <c r="T94" s="7" t="n">
        <v>1</v>
      </c>
      <c r="U94" s="6" t="n">
        <f aca="false">ROUND(2*T94^2*IF(D94="Rare Active",6,IF(D94="Workhorse",2,1))+(K94+M94+O94)/2,0)</f>
        <v>8</v>
      </c>
      <c r="V94" s="7" t="n">
        <v>45</v>
      </c>
      <c r="W94" s="6" t="str">
        <f aca="false">IF(COUNTIF(Plants!$A$2:$A$1000,C94)&gt;0,"yes","")</f>
        <v>yes</v>
      </c>
    </row>
    <row r="95" customFormat="false" ht="15" hidden="false" customHeight="false" outlineLevel="0" collapsed="false">
      <c r="A95" s="6" t="s">
        <v>550</v>
      </c>
      <c r="B95" s="7" t="s">
        <v>551</v>
      </c>
      <c r="C95" s="7" t="s">
        <v>552</v>
      </c>
      <c r="D95" s="7" t="s">
        <v>77</v>
      </c>
      <c r="E95" s="7" t="s">
        <v>46</v>
      </c>
      <c r="F95" s="7" t="s">
        <v>120</v>
      </c>
      <c r="G95" s="7" t="n">
        <v>6</v>
      </c>
      <c r="H95" s="7" t="n">
        <v>9</v>
      </c>
      <c r="I95" s="7" t="n">
        <v>9</v>
      </c>
      <c r="J95" s="7" t="s">
        <v>108</v>
      </c>
      <c r="K95" s="7" t="n">
        <v>3</v>
      </c>
      <c r="L95" s="7" t="s">
        <v>65</v>
      </c>
      <c r="M95" s="7" t="n">
        <v>3</v>
      </c>
      <c r="N95" s="7"/>
      <c r="O95" s="7"/>
      <c r="P95" s="7" t="n">
        <v>0</v>
      </c>
      <c r="Q95" s="7" t="s">
        <v>553</v>
      </c>
      <c r="R95" s="7" t="s">
        <v>67</v>
      </c>
      <c r="S95" s="7" t="s">
        <v>554</v>
      </c>
      <c r="T95" s="7" t="n">
        <v>1</v>
      </c>
      <c r="U95" s="6" t="n">
        <f aca="false">ROUND(2*T95^2*IF(D95="Rare Active",6,IF(D95="Workhorse",2,1))+(K95+M95+O95)/2,0)</f>
        <v>7</v>
      </c>
      <c r="V95" s="7" t="n">
        <v>30</v>
      </c>
      <c r="W95" s="6" t="str">
        <f aca="false">IF(COUNTIF(Plants!$A$2:$A$1000,C95)&gt;0,"yes","")</f>
        <v>yes</v>
      </c>
    </row>
    <row r="96" customFormat="false" ht="15" hidden="false" customHeight="false" outlineLevel="0" collapsed="false">
      <c r="A96" s="6" t="s">
        <v>555</v>
      </c>
      <c r="B96" s="7" t="s">
        <v>556</v>
      </c>
      <c r="C96" s="7" t="s">
        <v>557</v>
      </c>
      <c r="D96" s="7" t="s">
        <v>77</v>
      </c>
      <c r="E96" s="7" t="s">
        <v>214</v>
      </c>
      <c r="F96" s="7" t="s">
        <v>47</v>
      </c>
      <c r="G96" s="7" t="n">
        <v>7</v>
      </c>
      <c r="H96" s="7" t="n">
        <v>9</v>
      </c>
      <c r="I96" s="7" t="n">
        <v>9</v>
      </c>
      <c r="J96" s="7" t="s">
        <v>65</v>
      </c>
      <c r="K96" s="7" t="n">
        <v>6</v>
      </c>
      <c r="L96" s="7" t="s">
        <v>79</v>
      </c>
      <c r="M96" s="7" t="n">
        <v>3</v>
      </c>
      <c r="N96" s="7"/>
      <c r="O96" s="7"/>
      <c r="P96" s="7" t="n">
        <v>0</v>
      </c>
      <c r="Q96" s="7" t="s">
        <v>81</v>
      </c>
      <c r="R96" s="7" t="s">
        <v>67</v>
      </c>
      <c r="S96" s="7" t="s">
        <v>558</v>
      </c>
      <c r="T96" s="7" t="n">
        <v>3</v>
      </c>
      <c r="U96" s="6" t="n">
        <f aca="false">ROUND(2*T96^2*IF(D96="Rare Active",6,IF(D96="Workhorse",2,1))+(K96+M96+O96)/2,0)</f>
        <v>41</v>
      </c>
      <c r="V96" s="7" t="n">
        <v>45</v>
      </c>
      <c r="W96" s="6" t="str">
        <f aca="false">IF(COUNTIF(Plants!$A$2:$A$1000,C96)&gt;0,"yes","")</f>
        <v/>
      </c>
    </row>
    <row r="97" customFormat="false" ht="15" hidden="false" customHeight="false" outlineLevel="0" collapsed="false">
      <c r="A97" s="6" t="s">
        <v>559</v>
      </c>
      <c r="B97" s="7" t="s">
        <v>560</v>
      </c>
      <c r="C97" s="7" t="s">
        <v>561</v>
      </c>
      <c r="D97" s="7" t="s">
        <v>77</v>
      </c>
      <c r="E97" s="7" t="s">
        <v>214</v>
      </c>
      <c r="F97" s="7" t="s">
        <v>47</v>
      </c>
      <c r="G97" s="7" t="n">
        <v>7</v>
      </c>
      <c r="H97" s="7" t="n">
        <v>9</v>
      </c>
      <c r="I97" s="7" t="n">
        <v>9</v>
      </c>
      <c r="J97" s="7" t="s">
        <v>113</v>
      </c>
      <c r="K97" s="7" t="n">
        <v>4</v>
      </c>
      <c r="L97" s="7" t="s">
        <v>79</v>
      </c>
      <c r="M97" s="7" t="n">
        <v>6</v>
      </c>
      <c r="N97" s="7"/>
      <c r="O97" s="7"/>
      <c r="P97" s="7" t="n">
        <v>0</v>
      </c>
      <c r="Q97" s="7" t="s">
        <v>562</v>
      </c>
      <c r="R97" s="7" t="s">
        <v>60</v>
      </c>
      <c r="S97" s="7" t="s">
        <v>563</v>
      </c>
      <c r="T97" s="7" t="n">
        <v>2</v>
      </c>
      <c r="U97" s="6" t="n">
        <f aca="false">ROUND(2*T97^2*IF(D97="Rare Active",6,IF(D97="Workhorse",2,1))+(K97+M97+O97)/2,0)</f>
        <v>21</v>
      </c>
      <c r="V97" s="7" t="n">
        <v>45</v>
      </c>
      <c r="W97" s="6" t="str">
        <f aca="false">IF(COUNTIF(Plants!$A$2:$A$1000,C97)&gt;0,"yes","")</f>
        <v/>
      </c>
    </row>
    <row r="98" customFormat="false" ht="15" hidden="false" customHeight="false" outlineLevel="0" collapsed="false">
      <c r="A98" s="6" t="s">
        <v>564</v>
      </c>
      <c r="B98" s="7" t="s">
        <v>565</v>
      </c>
      <c r="C98" s="7" t="s">
        <v>566</v>
      </c>
      <c r="D98" s="7" t="s">
        <v>77</v>
      </c>
      <c r="E98" s="7" t="s">
        <v>214</v>
      </c>
      <c r="F98" s="7" t="s">
        <v>47</v>
      </c>
      <c r="G98" s="7" t="n">
        <v>7</v>
      </c>
      <c r="H98" s="7" t="n">
        <v>9</v>
      </c>
      <c r="I98" s="7" t="n">
        <v>9</v>
      </c>
      <c r="J98" s="7" t="s">
        <v>79</v>
      </c>
      <c r="K98" s="7" t="n">
        <v>7</v>
      </c>
      <c r="L98" s="7" t="s">
        <v>113</v>
      </c>
      <c r="M98" s="7" t="n">
        <v>3</v>
      </c>
      <c r="N98" s="7"/>
      <c r="O98" s="7"/>
      <c r="P98" s="7" t="n">
        <v>1</v>
      </c>
      <c r="Q98" s="7" t="s">
        <v>81</v>
      </c>
      <c r="R98" s="7" t="s">
        <v>60</v>
      </c>
      <c r="S98" s="7" t="s">
        <v>567</v>
      </c>
      <c r="T98" s="7" t="n">
        <v>2</v>
      </c>
      <c r="U98" s="6" t="n">
        <f aca="false">ROUND(2*T98^2*IF(D98="Rare Active",6,IF(D98="Workhorse",2,1))+(K98+M98+O98)/2,0)</f>
        <v>21</v>
      </c>
      <c r="V98" s="7" t="n">
        <v>45</v>
      </c>
      <c r="W98" s="6" t="str">
        <f aca="false">IF(COUNTIF(Plants!$A$2:$A$1000,C98)&gt;0,"yes","")</f>
        <v/>
      </c>
    </row>
    <row r="99" customFormat="false" ht="15" hidden="false" customHeight="false" outlineLevel="0" collapsed="false">
      <c r="A99" s="6" t="s">
        <v>568</v>
      </c>
      <c r="B99" s="7" t="s">
        <v>569</v>
      </c>
      <c r="C99" s="7" t="s">
        <v>570</v>
      </c>
      <c r="D99" s="7" t="s">
        <v>45</v>
      </c>
      <c r="E99" s="7" t="s">
        <v>214</v>
      </c>
      <c r="F99" s="7" t="s">
        <v>78</v>
      </c>
      <c r="G99" s="7" t="n">
        <v>9</v>
      </c>
      <c r="H99" s="7" t="n">
        <v>10</v>
      </c>
      <c r="I99" s="7" t="n">
        <v>9</v>
      </c>
      <c r="J99" s="7" t="s">
        <v>65</v>
      </c>
      <c r="K99" s="7" t="n">
        <v>2</v>
      </c>
      <c r="L99" s="7" t="s">
        <v>176</v>
      </c>
      <c r="M99" s="7" t="n">
        <v>2</v>
      </c>
      <c r="N99" s="7"/>
      <c r="O99" s="7"/>
      <c r="P99" s="7" t="n">
        <v>1</v>
      </c>
      <c r="Q99" s="7" t="s">
        <v>81</v>
      </c>
      <c r="R99" s="7" t="s">
        <v>571</v>
      </c>
      <c r="S99" s="7" t="s">
        <v>572</v>
      </c>
      <c r="T99" s="7" t="n">
        <v>2</v>
      </c>
      <c r="U99" s="6" t="n">
        <f aca="false">ROUND(2*T99^2*IF(D99="Rare Active",6,IF(D99="Workhorse",2,1))+(K99+M99+O99)/2,0)</f>
        <v>10</v>
      </c>
      <c r="V99" s="7" t="n">
        <v>120</v>
      </c>
      <c r="W99" s="6" t="str">
        <f aca="false">IF(COUNTIF(Plants!$A$2:$A$1000,C99)&gt;0,"yes","")</f>
        <v/>
      </c>
    </row>
    <row r="100" customFormat="false" ht="15" hidden="false" customHeight="false" outlineLevel="0" collapsed="false">
      <c r="A100" s="6" t="s">
        <v>573</v>
      </c>
      <c r="B100" s="7" t="s">
        <v>574</v>
      </c>
      <c r="C100" s="7" t="s">
        <v>575</v>
      </c>
      <c r="D100" s="7" t="s">
        <v>45</v>
      </c>
      <c r="E100" s="7" t="s">
        <v>214</v>
      </c>
      <c r="F100" s="7" t="s">
        <v>175</v>
      </c>
      <c r="G100" s="7" t="n">
        <v>9</v>
      </c>
      <c r="H100" s="7" t="n">
        <v>10</v>
      </c>
      <c r="I100" s="7" t="n">
        <v>0</v>
      </c>
      <c r="J100" s="7" t="s">
        <v>80</v>
      </c>
      <c r="K100" s="7" t="n">
        <v>3</v>
      </c>
      <c r="L100" s="7" t="s">
        <v>113</v>
      </c>
      <c r="M100" s="7" t="n">
        <v>3</v>
      </c>
      <c r="N100" s="7"/>
      <c r="O100" s="7"/>
      <c r="P100" s="7" t="n">
        <v>4</v>
      </c>
      <c r="Q100" s="7" t="s">
        <v>81</v>
      </c>
      <c r="R100" s="7" t="s">
        <v>60</v>
      </c>
      <c r="S100" s="7" t="s">
        <v>576</v>
      </c>
      <c r="T100" s="7" t="n">
        <v>2</v>
      </c>
      <c r="U100" s="6" t="n">
        <f aca="false">ROUND(2*T100^2*IF(D100="Rare Active",6,IF(D100="Workhorse",2,1))+(K100+M100+O100)/2,0)</f>
        <v>11</v>
      </c>
      <c r="V100" s="7" t="n">
        <v>300</v>
      </c>
      <c r="W100" s="6" t="str">
        <f aca="false">IF(COUNTIF(Plants!$A$2:$A$1000,C100)&gt;0,"yes","")</f>
        <v/>
      </c>
    </row>
    <row r="101" customFormat="false" ht="15" hidden="false" customHeight="false" outlineLevel="0" collapsed="false">
      <c r="A101" s="6" t="s">
        <v>577</v>
      </c>
      <c r="B101" s="7" t="s">
        <v>578</v>
      </c>
      <c r="C101" s="7" t="s">
        <v>579</v>
      </c>
      <c r="D101" s="7" t="s">
        <v>77</v>
      </c>
      <c r="E101" s="7" t="s">
        <v>214</v>
      </c>
      <c r="F101" s="7" t="s">
        <v>215</v>
      </c>
      <c r="G101" s="7" t="n">
        <v>9</v>
      </c>
      <c r="H101" s="7" t="n">
        <v>10</v>
      </c>
      <c r="I101" s="7" t="n">
        <v>9</v>
      </c>
      <c r="J101" s="7" t="s">
        <v>176</v>
      </c>
      <c r="K101" s="7" t="n">
        <v>6</v>
      </c>
      <c r="L101" s="7"/>
      <c r="M101" s="7"/>
      <c r="N101" s="7"/>
      <c r="O101" s="7"/>
      <c r="P101" s="7" t="n">
        <v>6</v>
      </c>
      <c r="Q101" s="7" t="s">
        <v>290</v>
      </c>
      <c r="R101" s="7" t="s">
        <v>60</v>
      </c>
      <c r="S101" s="7" t="s">
        <v>580</v>
      </c>
      <c r="T101" s="7" t="n">
        <v>3</v>
      </c>
      <c r="U101" s="6" t="n">
        <f aca="false">ROUND(2*T101^2*IF(D101="Rare Active",6,IF(D101="Workhorse",2,1))+(K101+M101+O101)/2,0)</f>
        <v>39</v>
      </c>
      <c r="V101" s="7" t="n">
        <v>120</v>
      </c>
      <c r="W101" s="6" t="str">
        <f aca="false">IF(COUNTIF(Plants!$A$2:$A$1000,C101)&gt;0,"yes","")</f>
        <v/>
      </c>
    </row>
    <row r="102" customFormat="false" ht="15" hidden="false" customHeight="false" outlineLevel="0" collapsed="false">
      <c r="A102" s="6" t="s">
        <v>581</v>
      </c>
      <c r="B102" s="7" t="s">
        <v>582</v>
      </c>
      <c r="C102" s="7" t="s">
        <v>583</v>
      </c>
      <c r="D102" s="7" t="s">
        <v>45</v>
      </c>
      <c r="E102" s="7" t="s">
        <v>139</v>
      </c>
      <c r="F102" s="7" t="s">
        <v>120</v>
      </c>
      <c r="G102" s="7" t="n">
        <v>8</v>
      </c>
      <c r="H102" s="7" t="n">
        <v>9</v>
      </c>
      <c r="I102" s="7" t="n">
        <v>9</v>
      </c>
      <c r="J102" s="7" t="s">
        <v>289</v>
      </c>
      <c r="K102" s="7" t="n">
        <v>3</v>
      </c>
      <c r="L102" s="7" t="s">
        <v>114</v>
      </c>
      <c r="M102" s="7" t="n">
        <v>3</v>
      </c>
      <c r="N102" s="7"/>
      <c r="O102" s="7"/>
      <c r="P102" s="7" t="n">
        <v>5</v>
      </c>
      <c r="Q102" s="7" t="s">
        <v>290</v>
      </c>
      <c r="R102" s="7" t="s">
        <v>60</v>
      </c>
      <c r="S102" s="7" t="s">
        <v>584</v>
      </c>
      <c r="T102" s="7" t="n">
        <v>3</v>
      </c>
      <c r="U102" s="6" t="n">
        <f aca="false">ROUND(2*T102^2*IF(D102="Rare Active",6,IF(D102="Workhorse",2,1))+(K102+M102+O102)/2,0)</f>
        <v>21</v>
      </c>
      <c r="V102" s="7" t="n">
        <v>30</v>
      </c>
      <c r="W102" s="6" t="str">
        <f aca="false">IF(COUNTIF(Plants!$A$2:$A$1000,C102)&gt;0,"yes","")</f>
        <v/>
      </c>
    </row>
    <row r="103" customFormat="false" ht="15" hidden="false" customHeight="false" outlineLevel="0" collapsed="false">
      <c r="A103" s="6" t="s">
        <v>585</v>
      </c>
      <c r="B103" s="7" t="s">
        <v>586</v>
      </c>
      <c r="C103" s="7" t="s">
        <v>587</v>
      </c>
      <c r="D103" s="7" t="s">
        <v>77</v>
      </c>
      <c r="E103" s="7" t="s">
        <v>139</v>
      </c>
      <c r="F103" s="7" t="s">
        <v>47</v>
      </c>
      <c r="G103" s="7" t="n">
        <v>8</v>
      </c>
      <c r="H103" s="7" t="n">
        <v>9</v>
      </c>
      <c r="I103" s="7" t="n">
        <v>9</v>
      </c>
      <c r="J103" s="7" t="s">
        <v>289</v>
      </c>
      <c r="K103" s="7" t="n">
        <v>5</v>
      </c>
      <c r="L103" s="7"/>
      <c r="M103" s="7"/>
      <c r="N103" s="7"/>
      <c r="O103" s="7"/>
      <c r="P103" s="7" t="n">
        <v>5</v>
      </c>
      <c r="Q103" s="7" t="s">
        <v>290</v>
      </c>
      <c r="R103" s="7" t="s">
        <v>60</v>
      </c>
      <c r="S103" s="7" t="s">
        <v>588</v>
      </c>
      <c r="T103" s="7" t="n">
        <v>3</v>
      </c>
      <c r="U103" s="6" t="n">
        <f aca="false">ROUND(2*T103^2*IF(D103="Rare Active",6,IF(D103="Workhorse",2,1))+(K103+M103+O103)/2,0)</f>
        <v>39</v>
      </c>
      <c r="V103" s="7" t="n">
        <v>45</v>
      </c>
      <c r="W103" s="6" t="str">
        <f aca="false">IF(COUNTIF(Plants!$A$2:$A$1000,C103)&gt;0,"yes","")</f>
        <v/>
      </c>
    </row>
    <row r="104" customFormat="false" ht="15" hidden="false" customHeight="false" outlineLevel="0" collapsed="false">
      <c r="A104" s="6" t="s">
        <v>589</v>
      </c>
      <c r="B104" s="7" t="s">
        <v>590</v>
      </c>
      <c r="C104" s="7" t="s">
        <v>591</v>
      </c>
      <c r="D104" s="7" t="s">
        <v>77</v>
      </c>
      <c r="E104" s="7" t="s">
        <v>46</v>
      </c>
      <c r="F104" s="7" t="s">
        <v>56</v>
      </c>
      <c r="G104" s="7" t="n">
        <v>8</v>
      </c>
      <c r="H104" s="7" t="n">
        <v>9</v>
      </c>
      <c r="I104" s="7" t="n">
        <v>9</v>
      </c>
      <c r="J104" s="7" t="s">
        <v>289</v>
      </c>
      <c r="K104" s="7" t="n">
        <v>7</v>
      </c>
      <c r="L104" s="7"/>
      <c r="M104" s="7"/>
      <c r="N104" s="7"/>
      <c r="O104" s="7"/>
      <c r="P104" s="7" t="n">
        <v>6</v>
      </c>
      <c r="Q104" s="7" t="s">
        <v>592</v>
      </c>
      <c r="R104" s="7" t="s">
        <v>290</v>
      </c>
      <c r="S104" s="7" t="s">
        <v>593</v>
      </c>
      <c r="T104" s="7" t="n">
        <v>2</v>
      </c>
      <c r="U104" s="6" t="n">
        <f aca="false">ROUND(2*T104^2*IF(D104="Rare Active",6,IF(D104="Workhorse",2,1))+(K104+M104+O104)/2,0)</f>
        <v>20</v>
      </c>
      <c r="V104" s="7" t="n">
        <v>40</v>
      </c>
      <c r="W104" s="6" t="str">
        <f aca="false">IF(COUNTIF(Plants!$A$2:$A$1000,C104)&gt;0,"yes","")</f>
        <v/>
      </c>
    </row>
    <row r="105" customFormat="false" ht="15" hidden="false" customHeight="false" outlineLevel="0" collapsed="false">
      <c r="A105" s="6" t="s">
        <v>594</v>
      </c>
      <c r="B105" s="7" t="s">
        <v>595</v>
      </c>
      <c r="C105" s="7" t="s">
        <v>596</v>
      </c>
      <c r="D105" s="7" t="s">
        <v>45</v>
      </c>
      <c r="E105" s="7" t="s">
        <v>46</v>
      </c>
      <c r="F105" s="7" t="s">
        <v>204</v>
      </c>
      <c r="G105" s="7" t="n">
        <v>7</v>
      </c>
      <c r="H105" s="7" t="n">
        <v>9</v>
      </c>
      <c r="I105" s="7" t="n">
        <v>9</v>
      </c>
      <c r="J105" s="7" t="s">
        <v>80</v>
      </c>
      <c r="K105" s="7" t="n">
        <v>5</v>
      </c>
      <c r="L105" s="7" t="s">
        <v>79</v>
      </c>
      <c r="M105" s="7" t="n">
        <v>3</v>
      </c>
      <c r="N105" s="7"/>
      <c r="O105" s="7"/>
      <c r="P105" s="7" t="n">
        <v>2</v>
      </c>
      <c r="Q105" s="7" t="s">
        <v>81</v>
      </c>
      <c r="R105" s="7" t="s">
        <v>60</v>
      </c>
      <c r="S105" s="7" t="s">
        <v>597</v>
      </c>
      <c r="T105" s="7" t="n">
        <v>1</v>
      </c>
      <c r="U105" s="6" t="n">
        <f aca="false">ROUND(2*T105^2*IF(D105="Rare Active",6,IF(D105="Workhorse",2,1))+(K105+M105+O105)/2,0)</f>
        <v>6</v>
      </c>
      <c r="V105" s="7" t="n">
        <v>7</v>
      </c>
      <c r="W105" s="6" t="str">
        <f aca="false">IF(COUNTIF(Plants!$A$2:$A$1000,C105)&gt;0,"yes","")</f>
        <v>yes</v>
      </c>
    </row>
    <row r="106" customFormat="false" ht="15" hidden="false" customHeight="false" outlineLevel="0" collapsed="false">
      <c r="A106" s="6" t="s">
        <v>598</v>
      </c>
      <c r="B106" s="7" t="s">
        <v>599</v>
      </c>
      <c r="C106" s="7" t="s">
        <v>600</v>
      </c>
      <c r="D106" s="7" t="s">
        <v>45</v>
      </c>
      <c r="E106" s="7" t="s">
        <v>601</v>
      </c>
      <c r="F106" s="7" t="s">
        <v>602</v>
      </c>
      <c r="G106" s="7" t="n">
        <v>5</v>
      </c>
      <c r="H106" s="7" t="n">
        <v>9</v>
      </c>
      <c r="I106" s="7" t="n">
        <v>0</v>
      </c>
      <c r="J106" s="7" t="s">
        <v>57</v>
      </c>
      <c r="K106" s="7" t="n">
        <v>6</v>
      </c>
      <c r="L106" s="7" t="s">
        <v>48</v>
      </c>
      <c r="M106" s="7" t="n">
        <v>2</v>
      </c>
      <c r="N106" s="7"/>
      <c r="O106" s="7"/>
      <c r="P106" s="7" t="n">
        <v>0</v>
      </c>
      <c r="Q106" s="7" t="s">
        <v>603</v>
      </c>
      <c r="R106" s="7" t="s">
        <v>604</v>
      </c>
      <c r="S106" s="7" t="s">
        <v>605</v>
      </c>
      <c r="T106" s="7" t="n">
        <v>3</v>
      </c>
      <c r="U106" s="6" t="n">
        <f aca="false">ROUND(2*T106^2*IF(D106="Rare Active",6,IF(D106="Workhorse",2,1))+(K106+M106+O106)/2,0)</f>
        <v>22</v>
      </c>
      <c r="V106" s="7" t="n">
        <v>14</v>
      </c>
      <c r="W106" s="6" t="str">
        <f aca="false">IF(COUNTIF(Plants!$A$2:$A$1000,C106)&gt;0,"yes","")</f>
        <v/>
      </c>
    </row>
    <row r="107" customFormat="false" ht="15" hidden="false" customHeight="false" outlineLevel="0" collapsed="false">
      <c r="A107" s="6" t="s">
        <v>606</v>
      </c>
      <c r="B107" s="7" t="s">
        <v>607</v>
      </c>
      <c r="C107" s="7" t="s">
        <v>600</v>
      </c>
      <c r="D107" s="7" t="s">
        <v>45</v>
      </c>
      <c r="E107" s="7" t="s">
        <v>601</v>
      </c>
      <c r="F107" s="7" t="s">
        <v>131</v>
      </c>
      <c r="G107" s="7" t="n">
        <v>8</v>
      </c>
      <c r="H107" s="7" t="n">
        <v>10</v>
      </c>
      <c r="I107" s="7" t="n">
        <v>0</v>
      </c>
      <c r="J107" s="7" t="s">
        <v>48</v>
      </c>
      <c r="K107" s="7" t="n">
        <v>4</v>
      </c>
      <c r="L107" s="7" t="s">
        <v>132</v>
      </c>
      <c r="M107" s="7" t="n">
        <v>4</v>
      </c>
      <c r="N107" s="7"/>
      <c r="O107" s="7"/>
      <c r="P107" s="7" t="n">
        <v>0</v>
      </c>
      <c r="Q107" s="7" t="s">
        <v>608</v>
      </c>
      <c r="R107" s="7" t="s">
        <v>134</v>
      </c>
      <c r="S107" s="7" t="s">
        <v>609</v>
      </c>
      <c r="T107" s="7" t="n">
        <v>3</v>
      </c>
      <c r="U107" s="6" t="n">
        <f aca="false">ROUND(2*T107^2*IF(D107="Rare Active",6,IF(D107="Workhorse",2,1))+(K107+M107+O107)/2,0)</f>
        <v>22</v>
      </c>
      <c r="V107" s="7" t="n">
        <v>10</v>
      </c>
      <c r="W107" s="6" t="str">
        <f aca="false">IF(COUNTIF(Plants!$A$2:$A$1000,C107)&gt;0,"yes","")</f>
        <v/>
      </c>
    </row>
    <row r="108" customFormat="false" ht="15" hidden="false" customHeight="false" outlineLevel="0" collapsed="false">
      <c r="A108" s="6" t="s">
        <v>610</v>
      </c>
      <c r="B108" s="7" t="s">
        <v>611</v>
      </c>
      <c r="C108" s="7" t="s">
        <v>612</v>
      </c>
      <c r="D108" s="7" t="s">
        <v>77</v>
      </c>
      <c r="E108" s="7" t="s">
        <v>601</v>
      </c>
      <c r="F108" s="7" t="s">
        <v>47</v>
      </c>
      <c r="G108" s="7" t="n">
        <v>1</v>
      </c>
      <c r="H108" s="7" t="n">
        <v>12</v>
      </c>
      <c r="I108" s="7" t="n">
        <v>0</v>
      </c>
      <c r="J108" s="7" t="s">
        <v>66</v>
      </c>
      <c r="K108" s="7" t="n">
        <v>7</v>
      </c>
      <c r="L108" s="7" t="s">
        <v>176</v>
      </c>
      <c r="M108" s="7" t="n">
        <v>3</v>
      </c>
      <c r="N108" s="7"/>
      <c r="O108" s="7"/>
      <c r="P108" s="7" t="n">
        <v>3</v>
      </c>
      <c r="Q108" s="7" t="s">
        <v>613</v>
      </c>
      <c r="R108" s="7" t="s">
        <v>614</v>
      </c>
      <c r="S108" s="7" t="s">
        <v>615</v>
      </c>
      <c r="T108" s="7" t="n">
        <v>2</v>
      </c>
      <c r="U108" s="6" t="n">
        <f aca="false">ROUND(2*T108^2*IF(D108="Rare Active",6,IF(D108="Workhorse",2,1))+(K108+M108+O108)/2,0)</f>
        <v>21</v>
      </c>
      <c r="V108" s="7" t="n">
        <v>45</v>
      </c>
      <c r="W108" s="6" t="str">
        <f aca="false">IF(COUNTIF(Plants!$A$2:$A$1000,C108)&gt;0,"yes","")</f>
        <v>yes</v>
      </c>
    </row>
    <row r="109" customFormat="false" ht="15" hidden="false" customHeight="false" outlineLevel="0" collapsed="false">
      <c r="A109" s="6" t="s">
        <v>616</v>
      </c>
      <c r="B109" s="7" t="s">
        <v>617</v>
      </c>
      <c r="C109" s="7" t="s">
        <v>612</v>
      </c>
      <c r="D109" s="7" t="s">
        <v>45</v>
      </c>
      <c r="E109" s="7" t="s">
        <v>601</v>
      </c>
      <c r="F109" s="7" t="s">
        <v>131</v>
      </c>
      <c r="G109" s="7" t="n">
        <v>9</v>
      </c>
      <c r="H109" s="7" t="n">
        <v>12</v>
      </c>
      <c r="I109" s="7" t="n">
        <v>0</v>
      </c>
      <c r="J109" s="7" t="s">
        <v>66</v>
      </c>
      <c r="K109" s="7" t="n">
        <v>5</v>
      </c>
      <c r="L109" s="7"/>
      <c r="M109" s="7"/>
      <c r="N109" s="7"/>
      <c r="O109" s="7"/>
      <c r="P109" s="7" t="n">
        <v>2</v>
      </c>
      <c r="Q109" s="7" t="s">
        <v>618</v>
      </c>
      <c r="R109" s="7" t="s">
        <v>619</v>
      </c>
      <c r="S109" s="7" t="s">
        <v>620</v>
      </c>
      <c r="T109" s="7" t="n">
        <v>2</v>
      </c>
      <c r="U109" s="6" t="n">
        <f aca="false">ROUND(2*T109^2*IF(D109="Rare Active",6,IF(D109="Workhorse",2,1))+(K109+M109+O109)/2,0)</f>
        <v>11</v>
      </c>
      <c r="V109" s="7" t="n">
        <v>10</v>
      </c>
      <c r="W109" s="6" t="str">
        <f aca="false">IF(COUNTIF(Plants!$A$2:$A$1000,C109)&gt;0,"yes","")</f>
        <v>yes</v>
      </c>
    </row>
    <row r="110" customFormat="false" ht="15" hidden="false" customHeight="false" outlineLevel="0" collapsed="false">
      <c r="A110" s="6" t="s">
        <v>621</v>
      </c>
      <c r="B110" s="7" t="s">
        <v>622</v>
      </c>
      <c r="C110" s="7" t="s">
        <v>623</v>
      </c>
      <c r="D110" s="7" t="s">
        <v>45</v>
      </c>
      <c r="E110" s="7" t="s">
        <v>601</v>
      </c>
      <c r="F110" s="7" t="s">
        <v>175</v>
      </c>
      <c r="G110" s="7" t="n">
        <v>6</v>
      </c>
      <c r="H110" s="7" t="n">
        <v>7</v>
      </c>
      <c r="I110" s="7" t="n">
        <v>0</v>
      </c>
      <c r="J110" s="7" t="s">
        <v>113</v>
      </c>
      <c r="K110" s="7" t="n">
        <v>2</v>
      </c>
      <c r="L110" s="7"/>
      <c r="M110" s="7"/>
      <c r="N110" s="7"/>
      <c r="O110" s="7"/>
      <c r="P110" s="7" t="n">
        <v>3</v>
      </c>
      <c r="Q110" s="7" t="s">
        <v>60</v>
      </c>
      <c r="R110" s="7" t="s">
        <v>60</v>
      </c>
      <c r="S110" s="7" t="s">
        <v>624</v>
      </c>
      <c r="T110" s="7" t="n">
        <v>3</v>
      </c>
      <c r="U110" s="6" t="n">
        <f aca="false">ROUND(2*T110^2*IF(D110="Rare Active",6,IF(D110="Workhorse",2,1))+(K110+M110+O110)/2,0)</f>
        <v>19</v>
      </c>
      <c r="V110" s="7" t="n">
        <v>300</v>
      </c>
      <c r="W110" s="6" t="str">
        <f aca="false">IF(COUNTIF(Plants!$A$2:$A$1000,C110)&gt;0,"yes","")</f>
        <v/>
      </c>
    </row>
    <row r="111" customFormat="false" ht="15" hidden="false" customHeight="false" outlineLevel="0" collapsed="false">
      <c r="A111" s="6" t="s">
        <v>625</v>
      </c>
      <c r="B111" s="7" t="s">
        <v>626</v>
      </c>
      <c r="C111" s="7" t="s">
        <v>627</v>
      </c>
      <c r="D111" s="7" t="s">
        <v>45</v>
      </c>
      <c r="E111" s="7" t="s">
        <v>601</v>
      </c>
      <c r="F111" s="7" t="s">
        <v>47</v>
      </c>
      <c r="G111" s="7" t="n">
        <v>1</v>
      </c>
      <c r="H111" s="7" t="n">
        <v>12</v>
      </c>
      <c r="I111" s="7" t="n">
        <v>0</v>
      </c>
      <c r="J111" s="7" t="s">
        <v>108</v>
      </c>
      <c r="K111" s="7" t="n">
        <v>1</v>
      </c>
      <c r="L111" s="7"/>
      <c r="M111" s="7"/>
      <c r="N111" s="7"/>
      <c r="O111" s="7"/>
      <c r="P111" s="7" t="n">
        <v>0</v>
      </c>
      <c r="Q111" s="7" t="s">
        <v>245</v>
      </c>
      <c r="R111" s="7" t="s">
        <v>628</v>
      </c>
      <c r="S111" s="7" t="s">
        <v>629</v>
      </c>
      <c r="T111" s="7" t="n">
        <v>4</v>
      </c>
      <c r="U111" s="6" t="n">
        <f aca="false">ROUND(2*T111^2*IF(D111="Rare Active",6,IF(D111="Workhorse",2,1))+(K111+M111+O111)/2,0)</f>
        <v>33</v>
      </c>
      <c r="V111" s="7" t="n">
        <v>45</v>
      </c>
      <c r="W111" s="6" t="str">
        <f aca="false">IF(COUNTIF(Plants!$A$2:$A$1000,C111)&gt;0,"yes","")</f>
        <v/>
      </c>
    </row>
    <row r="112" customFormat="false" ht="15" hidden="false" customHeight="false" outlineLevel="0" collapsed="false">
      <c r="A112" s="6" t="s">
        <v>630</v>
      </c>
      <c r="B112" s="7" t="s">
        <v>631</v>
      </c>
      <c r="C112" s="7" t="s">
        <v>632</v>
      </c>
      <c r="D112" s="7" t="s">
        <v>77</v>
      </c>
      <c r="E112" s="7" t="s">
        <v>601</v>
      </c>
      <c r="F112" s="7" t="s">
        <v>78</v>
      </c>
      <c r="G112" s="7" t="n">
        <v>9</v>
      </c>
      <c r="H112" s="7" t="n">
        <v>11</v>
      </c>
      <c r="I112" s="7" t="n">
        <v>0</v>
      </c>
      <c r="J112" s="7" t="s">
        <v>113</v>
      </c>
      <c r="K112" s="7" t="n">
        <v>4</v>
      </c>
      <c r="L112" s="7" t="s">
        <v>58</v>
      </c>
      <c r="M112" s="7" t="n">
        <v>2</v>
      </c>
      <c r="N112" s="7"/>
      <c r="O112" s="7"/>
      <c r="P112" s="7" t="n">
        <v>2</v>
      </c>
      <c r="Q112" s="7" t="s">
        <v>81</v>
      </c>
      <c r="R112" s="7" t="s">
        <v>60</v>
      </c>
      <c r="S112" s="7" t="s">
        <v>633</v>
      </c>
      <c r="T112" s="7" t="n">
        <v>3</v>
      </c>
      <c r="U112" s="6" t="n">
        <f aca="false">ROUND(2*T112^2*IF(D112="Rare Active",6,IF(D112="Workhorse",2,1))+(K112+M112+O112)/2,0)</f>
        <v>39</v>
      </c>
      <c r="V112" s="7" t="n">
        <v>120</v>
      </c>
      <c r="W112" s="6" t="str">
        <f aca="false">IF(COUNTIF(Plants!$A$2:$A$1000,C112)&gt;0,"yes","")</f>
        <v/>
      </c>
    </row>
    <row r="113" customFormat="false" ht="15" hidden="false" customHeight="false" outlineLevel="0" collapsed="false">
      <c r="A113" s="6" t="s">
        <v>634</v>
      </c>
      <c r="B113" s="7" t="s">
        <v>635</v>
      </c>
      <c r="C113" s="7" t="s">
        <v>636</v>
      </c>
      <c r="D113" s="7" t="s">
        <v>45</v>
      </c>
      <c r="E113" s="7" t="s">
        <v>601</v>
      </c>
      <c r="F113" s="7" t="s">
        <v>120</v>
      </c>
      <c r="G113" s="7" t="n">
        <v>4</v>
      </c>
      <c r="H113" s="7" t="n">
        <v>5</v>
      </c>
      <c r="I113" s="7" t="n">
        <v>6</v>
      </c>
      <c r="J113" s="7" t="s">
        <v>58</v>
      </c>
      <c r="K113" s="7" t="n">
        <v>2</v>
      </c>
      <c r="L113" s="7"/>
      <c r="M113" s="7"/>
      <c r="N113" s="7"/>
      <c r="O113" s="7"/>
      <c r="P113" s="7" t="n">
        <v>0</v>
      </c>
      <c r="Q113" s="7" t="s">
        <v>245</v>
      </c>
      <c r="R113" s="7" t="s">
        <v>60</v>
      </c>
      <c r="S113" s="7" t="s">
        <v>637</v>
      </c>
      <c r="T113" s="7" t="n">
        <v>4</v>
      </c>
      <c r="U113" s="6" t="n">
        <f aca="false">ROUND(2*T113^2*IF(D113="Rare Active",6,IF(D113="Workhorse",2,1))+(K113+M113+O113)/2,0)</f>
        <v>33</v>
      </c>
      <c r="V113" s="7" t="n">
        <v>30</v>
      </c>
      <c r="W113" s="6" t="str">
        <f aca="false">IF(COUNTIF(Plants!$A$2:$A$1000,C113)&gt;0,"yes","")</f>
        <v/>
      </c>
    </row>
    <row r="114" customFormat="false" ht="15" hidden="false" customHeight="false" outlineLevel="0" collapsed="false">
      <c r="A114" s="6" t="s">
        <v>638</v>
      </c>
      <c r="B114" s="7" t="s">
        <v>639</v>
      </c>
      <c r="C114" s="7" t="s">
        <v>640</v>
      </c>
      <c r="D114" s="7" t="s">
        <v>45</v>
      </c>
      <c r="E114" s="7" t="s">
        <v>107</v>
      </c>
      <c r="F114" s="7" t="s">
        <v>56</v>
      </c>
      <c r="G114" s="7" t="n">
        <v>9</v>
      </c>
      <c r="H114" s="7" t="n">
        <v>11</v>
      </c>
      <c r="I114" s="7" t="n">
        <v>10</v>
      </c>
      <c r="J114" s="7" t="s">
        <v>48</v>
      </c>
      <c r="K114" s="7" t="n">
        <v>1</v>
      </c>
      <c r="L114" s="7"/>
      <c r="M114" s="7"/>
      <c r="N114" s="7"/>
      <c r="O114" s="7"/>
      <c r="P114" s="7" t="n">
        <v>0</v>
      </c>
      <c r="Q114" s="7" t="s">
        <v>96</v>
      </c>
      <c r="R114" s="7" t="s">
        <v>96</v>
      </c>
      <c r="S114" s="7" t="s">
        <v>641</v>
      </c>
      <c r="T114" s="7" t="n">
        <v>1</v>
      </c>
      <c r="U114" s="6" t="n">
        <f aca="false">ROUND(2*T114^2*IF(D114="Rare Active",6,IF(D114="Workhorse",2,1))+(K114+M114+O114)/2,0)</f>
        <v>3</v>
      </c>
      <c r="V114" s="7" t="n">
        <v>40</v>
      </c>
      <c r="W114" s="6" t="str">
        <f aca="false">IF(COUNTIF(Plants!$A$2:$A$1000,C114)&gt;0,"yes","")</f>
        <v>yes</v>
      </c>
    </row>
    <row r="115" customFormat="false" ht="15" hidden="false" customHeight="false" outlineLevel="0" collapsed="false">
      <c r="A115" s="6" t="s">
        <v>642</v>
      </c>
      <c r="B115" s="7" t="s">
        <v>643</v>
      </c>
      <c r="C115" s="7" t="s">
        <v>644</v>
      </c>
      <c r="D115" s="7" t="s">
        <v>45</v>
      </c>
      <c r="E115" s="7" t="s">
        <v>107</v>
      </c>
      <c r="F115" s="7" t="s">
        <v>56</v>
      </c>
      <c r="G115" s="7" t="n">
        <v>9</v>
      </c>
      <c r="H115" s="7" t="n">
        <v>11</v>
      </c>
      <c r="I115" s="7" t="n">
        <v>10</v>
      </c>
      <c r="J115" s="7" t="s">
        <v>48</v>
      </c>
      <c r="K115" s="7" t="n">
        <v>1</v>
      </c>
      <c r="L115" s="7"/>
      <c r="M115" s="7"/>
      <c r="N115" s="7"/>
      <c r="O115" s="7"/>
      <c r="P115" s="7" t="n">
        <v>0</v>
      </c>
      <c r="Q115" s="7" t="s">
        <v>96</v>
      </c>
      <c r="R115" s="7" t="s">
        <v>96</v>
      </c>
      <c r="S115" s="7" t="s">
        <v>645</v>
      </c>
      <c r="T115" s="7" t="n">
        <v>1</v>
      </c>
      <c r="U115" s="6" t="n">
        <f aca="false">ROUND(2*T115^2*IF(D115="Rare Active",6,IF(D115="Workhorse",2,1))+(K115+M115+O115)/2,0)</f>
        <v>3</v>
      </c>
      <c r="V115" s="7" t="n">
        <v>40</v>
      </c>
      <c r="W115" s="6" t="str">
        <f aca="false">IF(COUNTIF(Plants!$A$2:$A$1000,C115)&gt;0,"yes","")</f>
        <v>yes</v>
      </c>
    </row>
    <row r="116" customFormat="false" ht="15" hidden="false" customHeight="false" outlineLevel="0" collapsed="false">
      <c r="A116" s="6" t="s">
        <v>646</v>
      </c>
      <c r="B116" s="7" t="s">
        <v>647</v>
      </c>
      <c r="C116" s="7" t="s">
        <v>648</v>
      </c>
      <c r="D116" s="7" t="s">
        <v>45</v>
      </c>
      <c r="E116" s="7" t="s">
        <v>107</v>
      </c>
      <c r="F116" s="7" t="s">
        <v>175</v>
      </c>
      <c r="G116" s="7" t="n">
        <v>9</v>
      </c>
      <c r="H116" s="7" t="n">
        <v>10</v>
      </c>
      <c r="I116" s="7" t="n">
        <v>0</v>
      </c>
      <c r="J116" s="7" t="s">
        <v>48</v>
      </c>
      <c r="K116" s="7" t="n">
        <v>2</v>
      </c>
      <c r="L116" s="7"/>
      <c r="M116" s="7"/>
      <c r="N116" s="7"/>
      <c r="O116" s="7"/>
      <c r="P116" s="7" t="n">
        <v>0</v>
      </c>
      <c r="Q116" s="7" t="s">
        <v>231</v>
      </c>
      <c r="R116" s="7" t="s">
        <v>60</v>
      </c>
      <c r="S116" s="7" t="s">
        <v>649</v>
      </c>
      <c r="T116" s="7" t="n">
        <v>1</v>
      </c>
      <c r="U116" s="6" t="n">
        <f aca="false">ROUND(2*T116^2*IF(D116="Rare Active",6,IF(D116="Workhorse",2,1))+(K116+M116+O116)/2,0)</f>
        <v>3</v>
      </c>
      <c r="V116" s="7" t="n">
        <v>300</v>
      </c>
      <c r="W116" s="6" t="str">
        <f aca="false">IF(COUNTIF(Plants!$A$2:$A$1000,C116)&gt;0,"yes","")</f>
        <v>yes</v>
      </c>
    </row>
    <row r="117" customFormat="false" ht="15" hidden="false" customHeight="false" outlineLevel="0" collapsed="false">
      <c r="A117" s="6" t="s">
        <v>650</v>
      </c>
      <c r="B117" s="7" t="s">
        <v>651</v>
      </c>
      <c r="C117" s="7" t="s">
        <v>652</v>
      </c>
      <c r="D117" s="7" t="s">
        <v>77</v>
      </c>
      <c r="E117" s="7" t="s">
        <v>107</v>
      </c>
      <c r="F117" s="7" t="s">
        <v>653</v>
      </c>
      <c r="G117" s="7" t="n">
        <v>7</v>
      </c>
      <c r="H117" s="7" t="n">
        <v>9</v>
      </c>
      <c r="I117" s="7" t="n">
        <v>10</v>
      </c>
      <c r="J117" s="7" t="s">
        <v>176</v>
      </c>
      <c r="K117" s="7" t="n">
        <v>5</v>
      </c>
      <c r="L117" s="7" t="s">
        <v>66</v>
      </c>
      <c r="M117" s="7" t="n">
        <v>2</v>
      </c>
      <c r="N117" s="7"/>
      <c r="O117" s="7"/>
      <c r="P117" s="7" t="n">
        <v>0</v>
      </c>
      <c r="Q117" s="7" t="s">
        <v>654</v>
      </c>
      <c r="R117" s="7" t="s">
        <v>655</v>
      </c>
      <c r="S117" s="7" t="s">
        <v>656</v>
      </c>
      <c r="T117" s="7" t="n">
        <v>4</v>
      </c>
      <c r="U117" s="6" t="n">
        <f aca="false">ROUND(2*T117^2*IF(D117="Rare Active",6,IF(D117="Workhorse",2,1))+(K117+M117+O117)/2,0)</f>
        <v>68</v>
      </c>
      <c r="V117" s="7" t="n">
        <v>365</v>
      </c>
      <c r="W117" s="6" t="str">
        <f aca="false">IF(COUNTIF(Plants!$A$2:$A$1000,C117)&gt;0,"yes","")</f>
        <v>yes</v>
      </c>
    </row>
    <row r="118" customFormat="false" ht="15" hidden="false" customHeight="false" outlineLevel="0" collapsed="false">
      <c r="A118" s="6" t="s">
        <v>657</v>
      </c>
      <c r="B118" s="7" t="s">
        <v>658</v>
      </c>
      <c r="C118" s="7" t="s">
        <v>659</v>
      </c>
      <c r="D118" s="7" t="s">
        <v>45</v>
      </c>
      <c r="E118" s="7" t="s">
        <v>107</v>
      </c>
      <c r="F118" s="7" t="s">
        <v>78</v>
      </c>
      <c r="G118" s="7" t="n">
        <v>9</v>
      </c>
      <c r="H118" s="7" t="n">
        <v>10</v>
      </c>
      <c r="I118" s="7" t="n">
        <v>10</v>
      </c>
      <c r="J118" s="7" t="s">
        <v>176</v>
      </c>
      <c r="K118" s="7" t="n">
        <v>3</v>
      </c>
      <c r="L118" s="7"/>
      <c r="M118" s="7"/>
      <c r="N118" s="7"/>
      <c r="O118" s="7"/>
      <c r="P118" s="7" t="n">
        <v>0</v>
      </c>
      <c r="Q118" s="7" t="s">
        <v>81</v>
      </c>
      <c r="R118" s="7" t="s">
        <v>653</v>
      </c>
      <c r="S118" s="7" t="s">
        <v>660</v>
      </c>
      <c r="T118" s="7" t="n">
        <v>4</v>
      </c>
      <c r="U118" s="6" t="n">
        <f aca="false">ROUND(2*T118^2*IF(D118="Rare Active",6,IF(D118="Workhorse",2,1))+(K118+M118+O118)/2,0)</f>
        <v>34</v>
      </c>
      <c r="V118" s="7" t="n">
        <v>120</v>
      </c>
      <c r="W118" s="6" t="str">
        <f aca="false">IF(COUNTIF(Plants!$A$2:$A$1000,C118)&gt;0,"yes","")</f>
        <v/>
      </c>
    </row>
    <row r="119" customFormat="false" ht="15" hidden="false" customHeight="false" outlineLevel="0" collapsed="false">
      <c r="A119" s="6" t="s">
        <v>661</v>
      </c>
      <c r="B119" s="7" t="s">
        <v>662</v>
      </c>
      <c r="C119" s="7" t="s">
        <v>663</v>
      </c>
      <c r="D119" s="7" t="s">
        <v>77</v>
      </c>
      <c r="E119" s="7" t="s">
        <v>107</v>
      </c>
      <c r="F119" s="7" t="s">
        <v>78</v>
      </c>
      <c r="G119" s="7" t="n">
        <v>9</v>
      </c>
      <c r="H119" s="7" t="n">
        <v>10</v>
      </c>
      <c r="I119" s="7" t="n">
        <v>10</v>
      </c>
      <c r="J119" s="7" t="s">
        <v>58</v>
      </c>
      <c r="K119" s="7" t="n">
        <v>4</v>
      </c>
      <c r="L119" s="7" t="s">
        <v>79</v>
      </c>
      <c r="M119" s="7" t="n">
        <v>2</v>
      </c>
      <c r="N119" s="7"/>
      <c r="O119" s="7"/>
      <c r="P119" s="7" t="n">
        <v>1</v>
      </c>
      <c r="Q119" s="7" t="s">
        <v>81</v>
      </c>
      <c r="R119" s="7" t="s">
        <v>60</v>
      </c>
      <c r="S119" s="7" t="s">
        <v>664</v>
      </c>
      <c r="T119" s="7" t="n">
        <v>4</v>
      </c>
      <c r="U119" s="6" t="n">
        <f aca="false">ROUND(2*T119^2*IF(D119="Rare Active",6,IF(D119="Workhorse",2,1))+(K119+M119+O119)/2,0)</f>
        <v>67</v>
      </c>
      <c r="V119" s="7" t="n">
        <v>120</v>
      </c>
      <c r="W119" s="6" t="str">
        <f aca="false">IF(COUNTIF(Plants!$A$2:$A$1000,C119)&gt;0,"yes","")</f>
        <v>yes</v>
      </c>
    </row>
    <row r="120" customFormat="false" ht="15" hidden="false" customHeight="false" outlineLevel="0" collapsed="false">
      <c r="A120" s="6" t="s">
        <v>665</v>
      </c>
      <c r="B120" s="7" t="s">
        <v>666</v>
      </c>
      <c r="C120" s="7" t="s">
        <v>667</v>
      </c>
      <c r="D120" s="7" t="s">
        <v>45</v>
      </c>
      <c r="E120" s="7" t="s">
        <v>107</v>
      </c>
      <c r="F120" s="7" t="s">
        <v>47</v>
      </c>
      <c r="G120" s="7" t="n">
        <v>7</v>
      </c>
      <c r="H120" s="7" t="n">
        <v>9</v>
      </c>
      <c r="I120" s="7" t="n">
        <v>10</v>
      </c>
      <c r="J120" s="7" t="s">
        <v>65</v>
      </c>
      <c r="K120" s="7" t="n">
        <v>2</v>
      </c>
      <c r="L120" s="7" t="s">
        <v>108</v>
      </c>
      <c r="M120" s="7" t="n">
        <v>2</v>
      </c>
      <c r="N120" s="7"/>
      <c r="O120" s="7"/>
      <c r="P120" s="7" t="n">
        <v>0</v>
      </c>
      <c r="Q120" s="7" t="s">
        <v>73</v>
      </c>
      <c r="R120" s="7" t="s">
        <v>60</v>
      </c>
      <c r="S120" s="7" t="s">
        <v>668</v>
      </c>
      <c r="T120" s="7" t="n">
        <v>4</v>
      </c>
      <c r="U120" s="6" t="n">
        <f aca="false">ROUND(2*T120^2*IF(D120="Rare Active",6,IF(D120="Workhorse",2,1))+(K120+M120+O120)/2,0)</f>
        <v>34</v>
      </c>
      <c r="V120" s="7" t="n">
        <v>45</v>
      </c>
      <c r="W120" s="6" t="str">
        <f aca="false">IF(COUNTIF(Plants!$A$2:$A$1000,C120)&gt;0,"yes","")</f>
        <v/>
      </c>
    </row>
    <row r="121" customFormat="false" ht="15" hidden="false" customHeight="false" outlineLevel="0" collapsed="false">
      <c r="A121" s="6" t="s">
        <v>669</v>
      </c>
      <c r="B121" s="7" t="s">
        <v>670</v>
      </c>
      <c r="C121" s="7" t="s">
        <v>671</v>
      </c>
      <c r="D121" s="7" t="s">
        <v>77</v>
      </c>
      <c r="E121" s="7" t="s">
        <v>146</v>
      </c>
      <c r="F121" s="7" t="s">
        <v>78</v>
      </c>
      <c r="G121" s="7" t="n">
        <v>10</v>
      </c>
      <c r="H121" s="7" t="n">
        <v>11</v>
      </c>
      <c r="I121" s="7" t="n">
        <v>9</v>
      </c>
      <c r="J121" s="7" t="s">
        <v>108</v>
      </c>
      <c r="K121" s="7" t="n">
        <v>6</v>
      </c>
      <c r="L121" s="7" t="s">
        <v>114</v>
      </c>
      <c r="M121" s="7" t="n">
        <v>4</v>
      </c>
      <c r="N121" s="7"/>
      <c r="O121" s="7"/>
      <c r="P121" s="7" t="n">
        <v>0</v>
      </c>
      <c r="Q121" s="7" t="s">
        <v>152</v>
      </c>
      <c r="R121" s="7" t="s">
        <v>60</v>
      </c>
      <c r="S121" s="7" t="s">
        <v>672</v>
      </c>
      <c r="T121" s="7" t="n">
        <v>4</v>
      </c>
      <c r="U121" s="6" t="n">
        <f aca="false">ROUND(2*T121^2*IF(D121="Rare Active",6,IF(D121="Workhorse",2,1))+(K121+M121+O121)/2,0)</f>
        <v>69</v>
      </c>
      <c r="V121" s="7" t="n">
        <v>120</v>
      </c>
      <c r="W121" s="6" t="str">
        <f aca="false">IF(COUNTIF(Plants!$A$2:$A$1000,C121)&gt;0,"yes","")</f>
        <v/>
      </c>
    </row>
    <row r="122" customFormat="false" ht="15" hidden="false" customHeight="false" outlineLevel="0" collapsed="false">
      <c r="A122" s="6" t="s">
        <v>673</v>
      </c>
      <c r="B122" s="7" t="s">
        <v>674</v>
      </c>
      <c r="C122" s="7" t="s">
        <v>675</v>
      </c>
      <c r="D122" s="7" t="s">
        <v>77</v>
      </c>
      <c r="E122" s="7" t="s">
        <v>107</v>
      </c>
      <c r="F122" s="7" t="s">
        <v>120</v>
      </c>
      <c r="G122" s="7" t="n">
        <v>8</v>
      </c>
      <c r="H122" s="7" t="n">
        <v>10</v>
      </c>
      <c r="I122" s="7" t="n">
        <v>10</v>
      </c>
      <c r="J122" s="7" t="s">
        <v>65</v>
      </c>
      <c r="K122" s="7" t="n">
        <v>5</v>
      </c>
      <c r="L122" s="7" t="s">
        <v>58</v>
      </c>
      <c r="M122" s="7" t="n">
        <v>3</v>
      </c>
      <c r="N122" s="7" t="s">
        <v>66</v>
      </c>
      <c r="O122" s="7" t="n">
        <v>2</v>
      </c>
      <c r="P122" s="7" t="n">
        <v>0</v>
      </c>
      <c r="Q122" s="7" t="s">
        <v>676</v>
      </c>
      <c r="R122" s="7" t="s">
        <v>613</v>
      </c>
      <c r="S122" s="7" t="s">
        <v>677</v>
      </c>
      <c r="T122" s="7" t="n">
        <v>1</v>
      </c>
      <c r="U122" s="6" t="n">
        <f aca="false">ROUND(2*T122^2*IF(D122="Rare Active",6,IF(D122="Workhorse",2,1))+(K122+M122+O122)/2,0)</f>
        <v>9</v>
      </c>
      <c r="V122" s="7" t="n">
        <v>30</v>
      </c>
      <c r="W122" s="6" t="str">
        <f aca="false">IF(COUNTIF(Plants!$A$2:$A$1000,C122)&gt;0,"yes","")</f>
        <v>yes</v>
      </c>
    </row>
    <row r="123" customFormat="false" ht="15" hidden="false" customHeight="false" outlineLevel="0" collapsed="false">
      <c r="A123" s="6" t="s">
        <v>678</v>
      </c>
      <c r="B123" s="7" t="s">
        <v>679</v>
      </c>
      <c r="C123" s="7" t="s">
        <v>680</v>
      </c>
      <c r="D123" s="7" t="s">
        <v>45</v>
      </c>
      <c r="E123" s="7" t="s">
        <v>107</v>
      </c>
      <c r="F123" s="7" t="s">
        <v>120</v>
      </c>
      <c r="G123" s="7" t="n">
        <v>9</v>
      </c>
      <c r="H123" s="7" t="n">
        <v>10</v>
      </c>
      <c r="I123" s="7" t="n">
        <v>10</v>
      </c>
      <c r="J123" s="7" t="s">
        <v>65</v>
      </c>
      <c r="K123" s="7" t="n">
        <v>2</v>
      </c>
      <c r="L123" s="7"/>
      <c r="M123" s="7"/>
      <c r="N123" s="7"/>
      <c r="O123" s="7"/>
      <c r="P123" s="7" t="n">
        <v>0</v>
      </c>
      <c r="Q123" s="7" t="s">
        <v>73</v>
      </c>
      <c r="R123" s="7" t="s">
        <v>60</v>
      </c>
      <c r="S123" s="7" t="s">
        <v>681</v>
      </c>
      <c r="T123" s="7" t="n">
        <v>1</v>
      </c>
      <c r="U123" s="6" t="n">
        <f aca="false">ROUND(2*T123^2*IF(D123="Rare Active",6,IF(D123="Workhorse",2,1))+(K123+M123+O123)/2,0)</f>
        <v>3</v>
      </c>
      <c r="V123" s="7" t="n">
        <v>30</v>
      </c>
      <c r="W123" s="6" t="str">
        <f aca="false">IF(COUNTIF(Plants!$A$2:$A$1000,C123)&gt;0,"yes","")</f>
        <v>yes</v>
      </c>
    </row>
    <row r="124" customFormat="false" ht="15" hidden="false" customHeight="false" outlineLevel="0" collapsed="false">
      <c r="A124" s="6" t="s">
        <v>682</v>
      </c>
      <c r="B124" s="7" t="s">
        <v>683</v>
      </c>
      <c r="C124" s="7" t="s">
        <v>684</v>
      </c>
      <c r="D124" s="7" t="s">
        <v>45</v>
      </c>
      <c r="E124" s="7" t="s">
        <v>107</v>
      </c>
      <c r="F124" s="7" t="s">
        <v>78</v>
      </c>
      <c r="G124" s="7" t="n">
        <v>7</v>
      </c>
      <c r="H124" s="7" t="n">
        <v>9</v>
      </c>
      <c r="I124" s="7" t="n">
        <v>9</v>
      </c>
      <c r="J124" s="7" t="s">
        <v>289</v>
      </c>
      <c r="K124" s="7" t="n">
        <v>1</v>
      </c>
      <c r="L124" s="7" t="s">
        <v>114</v>
      </c>
      <c r="M124" s="7" t="n">
        <v>2</v>
      </c>
      <c r="N124" s="7"/>
      <c r="O124" s="7"/>
      <c r="P124" s="7" t="n">
        <v>0</v>
      </c>
      <c r="Q124" s="7" t="s">
        <v>81</v>
      </c>
      <c r="R124" s="7" t="s">
        <v>60</v>
      </c>
      <c r="S124" s="7" t="s">
        <v>685</v>
      </c>
      <c r="T124" s="7" t="n">
        <v>1</v>
      </c>
      <c r="U124" s="6" t="n">
        <f aca="false">ROUND(2*T124^2*IF(D124="Rare Active",6,IF(D124="Workhorse",2,1))+(K124+M124+O124)/2,0)</f>
        <v>4</v>
      </c>
      <c r="V124" s="7" t="n">
        <v>120</v>
      </c>
      <c r="W124" s="6" t="str">
        <f aca="false">IF(COUNTIF(Plants!$A$2:$A$1000,C124)&gt;0,"yes","")</f>
        <v>yes</v>
      </c>
    </row>
    <row r="125" customFormat="false" ht="15" hidden="false" customHeight="false" outlineLevel="0" collapsed="false">
      <c r="A125" s="6" t="s">
        <v>686</v>
      </c>
      <c r="B125" s="7" t="s">
        <v>687</v>
      </c>
      <c r="C125" s="7" t="s">
        <v>688</v>
      </c>
      <c r="D125" s="7" t="s">
        <v>45</v>
      </c>
      <c r="E125" s="7" t="s">
        <v>46</v>
      </c>
      <c r="F125" s="7" t="s">
        <v>175</v>
      </c>
      <c r="G125" s="7" t="n">
        <v>8</v>
      </c>
      <c r="H125" s="7" t="n">
        <v>10</v>
      </c>
      <c r="I125" s="7" t="n">
        <v>0</v>
      </c>
      <c r="J125" s="7" t="s">
        <v>48</v>
      </c>
      <c r="K125" s="7" t="n">
        <v>4</v>
      </c>
      <c r="L125" s="7" t="s">
        <v>114</v>
      </c>
      <c r="M125" s="7" t="n">
        <v>2</v>
      </c>
      <c r="N125" s="7"/>
      <c r="O125" s="7"/>
      <c r="P125" s="7" t="n">
        <v>0</v>
      </c>
      <c r="Q125" s="7" t="s">
        <v>178</v>
      </c>
      <c r="R125" s="7" t="s">
        <v>60</v>
      </c>
      <c r="S125" s="7" t="s">
        <v>179</v>
      </c>
      <c r="T125" s="7" t="n">
        <v>1</v>
      </c>
      <c r="U125" s="6" t="n">
        <f aca="false">ROUND(2*T125^2*IF(D125="Rare Active",6,IF(D125="Workhorse",2,1))+(K125+M125+O125)/2,0)</f>
        <v>5</v>
      </c>
      <c r="V125" s="7" t="n">
        <v>300</v>
      </c>
      <c r="W125" s="6" t="str">
        <f aca="false">IF(COUNTIF(Plants!$A$2:$A$1000,C125)&gt;0,"yes","")</f>
        <v/>
      </c>
    </row>
    <row r="126" customFormat="false" ht="15" hidden="false" customHeight="false" outlineLevel="0" collapsed="false">
      <c r="A126" s="6" t="s">
        <v>689</v>
      </c>
      <c r="B126" s="7" t="s">
        <v>690</v>
      </c>
      <c r="C126" s="7" t="s">
        <v>691</v>
      </c>
      <c r="D126" s="7" t="s">
        <v>45</v>
      </c>
      <c r="E126" s="7" t="s">
        <v>139</v>
      </c>
      <c r="F126" s="7" t="s">
        <v>692</v>
      </c>
      <c r="G126" s="7" t="n">
        <v>10</v>
      </c>
      <c r="H126" s="7" t="n">
        <v>3</v>
      </c>
      <c r="I126" s="7" t="n">
        <v>0</v>
      </c>
      <c r="J126" s="7" t="s">
        <v>48</v>
      </c>
      <c r="K126" s="7" t="n">
        <v>6</v>
      </c>
      <c r="L126" s="7"/>
      <c r="M126" s="7"/>
      <c r="N126" s="7"/>
      <c r="O126" s="7"/>
      <c r="P126" s="7" t="n">
        <v>0</v>
      </c>
      <c r="Q126" s="7" t="s">
        <v>693</v>
      </c>
      <c r="R126" s="7" t="s">
        <v>60</v>
      </c>
      <c r="S126" s="7" t="s">
        <v>694</v>
      </c>
      <c r="T126" s="7" t="n">
        <v>1</v>
      </c>
      <c r="U126" s="6" t="n">
        <f aca="false">ROUND(2*T126^2*IF(D126="Rare Active",6,IF(D126="Workhorse",2,1))+(K126+M126+O126)/2,0)</f>
        <v>5</v>
      </c>
      <c r="V126" s="7" t="n">
        <v>90</v>
      </c>
      <c r="W126" s="6" t="str">
        <f aca="false">IF(COUNTIF(Plants!$A$2:$A$1000,C126)&gt;0,"yes","")</f>
        <v/>
      </c>
    </row>
    <row r="127" customFormat="false" ht="15" hidden="false" customHeight="false" outlineLevel="0" collapsed="false">
      <c r="A127" s="6" t="s">
        <v>695</v>
      </c>
      <c r="B127" s="7" t="s">
        <v>696</v>
      </c>
      <c r="C127" s="7" t="s">
        <v>697</v>
      </c>
      <c r="D127" s="7" t="s">
        <v>45</v>
      </c>
      <c r="E127" s="7" t="s">
        <v>139</v>
      </c>
      <c r="F127" s="7" t="s">
        <v>692</v>
      </c>
      <c r="G127" s="7" t="n">
        <v>10</v>
      </c>
      <c r="H127" s="7" t="n">
        <v>4</v>
      </c>
      <c r="I127" s="7" t="n">
        <v>9</v>
      </c>
      <c r="J127" s="7" t="s">
        <v>48</v>
      </c>
      <c r="K127" s="7" t="n">
        <v>5</v>
      </c>
      <c r="L127" s="7"/>
      <c r="M127" s="7"/>
      <c r="N127" s="7"/>
      <c r="O127" s="7"/>
      <c r="P127" s="7" t="n">
        <v>0</v>
      </c>
      <c r="Q127" s="7" t="s">
        <v>698</v>
      </c>
      <c r="R127" s="7" t="s">
        <v>60</v>
      </c>
      <c r="S127" s="7" t="s">
        <v>429</v>
      </c>
      <c r="T127" s="7" t="n">
        <v>3</v>
      </c>
      <c r="U127" s="6" t="n">
        <f aca="false">ROUND(2*T127^2*IF(D127="Rare Active",6,IF(D127="Workhorse",2,1))+(K127+M127+O127)/2,0)</f>
        <v>21</v>
      </c>
      <c r="V127" s="7" t="n">
        <v>90</v>
      </c>
      <c r="W127" s="6" t="str">
        <f aca="false">IF(COUNTIF(Plants!$A$2:$A$1000,C127)&gt;0,"yes","")</f>
        <v/>
      </c>
    </row>
    <row r="128" customFormat="false" ht="15" hidden="false" customHeight="false" outlineLevel="0" collapsed="false">
      <c r="A128" s="6" t="s">
        <v>699</v>
      </c>
      <c r="B128" s="7" t="s">
        <v>700</v>
      </c>
      <c r="C128" s="7" t="s">
        <v>701</v>
      </c>
      <c r="D128" s="7" t="s">
        <v>45</v>
      </c>
      <c r="E128" s="7" t="s">
        <v>93</v>
      </c>
      <c r="F128" s="7" t="s">
        <v>175</v>
      </c>
      <c r="G128" s="7" t="n">
        <v>9</v>
      </c>
      <c r="H128" s="7" t="n">
        <v>11</v>
      </c>
      <c r="I128" s="7" t="n">
        <v>0</v>
      </c>
      <c r="J128" s="7" t="s">
        <v>48</v>
      </c>
      <c r="K128" s="7" t="n">
        <v>4</v>
      </c>
      <c r="L128" s="7"/>
      <c r="M128" s="7"/>
      <c r="N128" s="7"/>
      <c r="O128" s="7"/>
      <c r="P128" s="7" t="n">
        <v>0</v>
      </c>
      <c r="Q128" s="7" t="s">
        <v>702</v>
      </c>
      <c r="R128" s="7" t="s">
        <v>60</v>
      </c>
      <c r="S128" s="7" t="s">
        <v>429</v>
      </c>
      <c r="T128" s="7" t="n">
        <v>3</v>
      </c>
      <c r="U128" s="6" t="n">
        <f aca="false">ROUND(2*T128^2*IF(D128="Rare Active",6,IF(D128="Workhorse",2,1))+(K128+M128+O128)/2,0)</f>
        <v>20</v>
      </c>
      <c r="V128" s="7" t="n">
        <v>300</v>
      </c>
      <c r="W128" s="6" t="str">
        <f aca="false">IF(COUNTIF(Plants!$A$2:$A$1000,C128)&gt;0,"yes","")</f>
        <v/>
      </c>
    </row>
    <row r="129" customFormat="false" ht="15" hidden="false" customHeight="false" outlineLevel="0" collapsed="false">
      <c r="A129" s="6" t="s">
        <v>703</v>
      </c>
      <c r="B129" s="7" t="s">
        <v>704</v>
      </c>
      <c r="C129" s="7" t="s">
        <v>705</v>
      </c>
      <c r="D129" s="7" t="s">
        <v>45</v>
      </c>
      <c r="E129" s="7" t="s">
        <v>93</v>
      </c>
      <c r="F129" s="7" t="s">
        <v>131</v>
      </c>
      <c r="G129" s="7" t="n">
        <v>9</v>
      </c>
      <c r="H129" s="7" t="n">
        <v>10</v>
      </c>
      <c r="I129" s="7" t="n">
        <v>0</v>
      </c>
      <c r="J129" s="7" t="s">
        <v>49</v>
      </c>
      <c r="K129" s="7" t="n">
        <v>5</v>
      </c>
      <c r="L129" s="7"/>
      <c r="M129" s="7"/>
      <c r="N129" s="7"/>
      <c r="O129" s="7"/>
      <c r="P129" s="7" t="n">
        <v>5</v>
      </c>
      <c r="Q129" s="7" t="s">
        <v>706</v>
      </c>
      <c r="R129" s="7" t="s">
        <v>60</v>
      </c>
      <c r="S129" s="7" t="s">
        <v>707</v>
      </c>
      <c r="T129" s="7" t="n">
        <v>1</v>
      </c>
      <c r="U129" s="6" t="n">
        <f aca="false">ROUND(2*T129^2*IF(D129="Rare Active",6,IF(D129="Workhorse",2,1))+(K129+M129+O129)/2,0)</f>
        <v>5</v>
      </c>
      <c r="V129" s="7" t="n">
        <v>10</v>
      </c>
      <c r="W129" s="6" t="str">
        <f aca="false">IF(COUNTIF(Plants!$A$2:$A$1000,C129)&gt;0,"yes","")</f>
        <v>yes</v>
      </c>
    </row>
    <row r="130" customFormat="false" ht="15" hidden="false" customHeight="false" outlineLevel="0" collapsed="false">
      <c r="A130" s="6" t="s">
        <v>708</v>
      </c>
      <c r="B130" s="7" t="s">
        <v>709</v>
      </c>
      <c r="C130" s="7" t="s">
        <v>710</v>
      </c>
      <c r="D130" s="7" t="s">
        <v>45</v>
      </c>
      <c r="E130" s="7" t="s">
        <v>139</v>
      </c>
      <c r="F130" s="7" t="s">
        <v>131</v>
      </c>
      <c r="G130" s="7" t="n">
        <v>7</v>
      </c>
      <c r="H130" s="7" t="n">
        <v>10</v>
      </c>
      <c r="I130" s="7" t="n">
        <v>0</v>
      </c>
      <c r="J130" s="7" t="s">
        <v>289</v>
      </c>
      <c r="K130" s="7" t="n">
        <v>5</v>
      </c>
      <c r="L130" s="7"/>
      <c r="M130" s="7"/>
      <c r="N130" s="7"/>
      <c r="O130" s="7"/>
      <c r="P130" s="7" t="n">
        <v>6</v>
      </c>
      <c r="Q130" s="7" t="s">
        <v>711</v>
      </c>
      <c r="R130" s="7" t="s">
        <v>60</v>
      </c>
      <c r="S130" s="7" t="s">
        <v>712</v>
      </c>
      <c r="T130" s="7" t="n">
        <v>1</v>
      </c>
      <c r="U130" s="6" t="n">
        <f aca="false">ROUND(2*T130^2*IF(D130="Rare Active",6,IF(D130="Workhorse",2,1))+(K130+M130+O130)/2,0)</f>
        <v>5</v>
      </c>
      <c r="V130" s="7" t="n">
        <v>10</v>
      </c>
      <c r="W130" s="6" t="str">
        <f aca="false">IF(COUNTIF(Plants!$A$2:$A$1000,C130)&gt;0,"yes","")</f>
        <v/>
      </c>
    </row>
    <row r="131" customFormat="false" ht="15" hidden="false" customHeight="false" outlineLevel="0" collapsed="false">
      <c r="A131" s="6" t="s">
        <v>713</v>
      </c>
      <c r="B131" s="7" t="s">
        <v>714</v>
      </c>
      <c r="C131" s="7" t="s">
        <v>715</v>
      </c>
      <c r="D131" s="7" t="s">
        <v>45</v>
      </c>
      <c r="E131" s="7" t="s">
        <v>46</v>
      </c>
      <c r="F131" s="7" t="s">
        <v>131</v>
      </c>
      <c r="G131" s="7" t="n">
        <v>8</v>
      </c>
      <c r="H131" s="7" t="n">
        <v>10</v>
      </c>
      <c r="I131" s="7" t="n">
        <v>0</v>
      </c>
      <c r="J131" s="7" t="s">
        <v>289</v>
      </c>
      <c r="K131" s="7" t="n">
        <v>5</v>
      </c>
      <c r="L131" s="7"/>
      <c r="M131" s="7"/>
      <c r="N131" s="7"/>
      <c r="O131" s="7"/>
      <c r="P131" s="7" t="n">
        <v>6</v>
      </c>
      <c r="Q131" s="7" t="s">
        <v>81</v>
      </c>
      <c r="R131" s="7" t="s">
        <v>60</v>
      </c>
      <c r="S131" s="7" t="s">
        <v>716</v>
      </c>
      <c r="T131" s="7" t="n">
        <v>1</v>
      </c>
      <c r="U131" s="6" t="n">
        <f aca="false">ROUND(2*T131^2*IF(D131="Rare Active",6,IF(D131="Workhorse",2,1))+(K131+M131+O131)/2,0)</f>
        <v>5</v>
      </c>
      <c r="V131" s="7" t="n">
        <v>10</v>
      </c>
      <c r="W131" s="6" t="str">
        <f aca="false">IF(COUNTIF(Plants!$A$2:$A$1000,C131)&gt;0,"yes","")</f>
        <v>yes</v>
      </c>
    </row>
    <row r="132" customFormat="false" ht="15" hidden="false" customHeight="false" outlineLevel="0" collapsed="false">
      <c r="A132" s="6" t="s">
        <v>717</v>
      </c>
      <c r="B132" s="7" t="s">
        <v>718</v>
      </c>
      <c r="C132" s="7" t="s">
        <v>719</v>
      </c>
      <c r="D132" s="7" t="s">
        <v>45</v>
      </c>
      <c r="E132" s="7" t="s">
        <v>46</v>
      </c>
      <c r="F132" s="7" t="s">
        <v>47</v>
      </c>
      <c r="G132" s="7" t="n">
        <v>3</v>
      </c>
      <c r="H132" s="7" t="n">
        <v>10</v>
      </c>
      <c r="I132" s="7" t="n">
        <v>6</v>
      </c>
      <c r="J132" s="7" t="s">
        <v>66</v>
      </c>
      <c r="K132" s="7" t="n">
        <v>3</v>
      </c>
      <c r="L132" s="7" t="s">
        <v>79</v>
      </c>
      <c r="M132" s="7" t="n">
        <v>2</v>
      </c>
      <c r="N132" s="7"/>
      <c r="O132" s="7"/>
      <c r="P132" s="7" t="n">
        <v>1</v>
      </c>
      <c r="Q132" s="7" t="s">
        <v>542</v>
      </c>
      <c r="R132" s="7" t="s">
        <v>720</v>
      </c>
      <c r="S132" s="7" t="s">
        <v>721</v>
      </c>
      <c r="T132" s="7" t="n">
        <v>1</v>
      </c>
      <c r="U132" s="6" t="n">
        <f aca="false">ROUND(2*T132^2*IF(D132="Rare Active",6,IF(D132="Workhorse",2,1))+(K132+M132+O132)/2,0)</f>
        <v>5</v>
      </c>
      <c r="V132" s="7" t="n">
        <v>45</v>
      </c>
      <c r="W132" s="6" t="str">
        <f aca="false">IF(COUNTIF(Plants!$A$2:$A$1000,C132)&gt;0,"yes","")</f>
        <v>yes</v>
      </c>
    </row>
    <row r="133" customFormat="false" ht="15" hidden="false" customHeight="false" outlineLevel="0" collapsed="false">
      <c r="A133" s="6" t="s">
        <v>722</v>
      </c>
      <c r="B133" s="7" t="s">
        <v>723</v>
      </c>
      <c r="C133" s="7" t="s">
        <v>724</v>
      </c>
      <c r="D133" s="7" t="s">
        <v>77</v>
      </c>
      <c r="E133" s="7" t="s">
        <v>541</v>
      </c>
      <c r="F133" s="7" t="s">
        <v>47</v>
      </c>
      <c r="G133" s="7" t="n">
        <v>5</v>
      </c>
      <c r="H133" s="7" t="n">
        <v>9</v>
      </c>
      <c r="I133" s="7" t="n">
        <v>0</v>
      </c>
      <c r="J133" s="7" t="s">
        <v>66</v>
      </c>
      <c r="K133" s="7" t="n">
        <v>7</v>
      </c>
      <c r="L133" s="7"/>
      <c r="M133" s="7"/>
      <c r="N133" s="7"/>
      <c r="O133" s="7"/>
      <c r="P133" s="7" t="n">
        <v>0</v>
      </c>
      <c r="Q133" s="7" t="s">
        <v>725</v>
      </c>
      <c r="R133" s="7" t="s">
        <v>720</v>
      </c>
      <c r="S133" s="7" t="s">
        <v>726</v>
      </c>
      <c r="T133" s="7" t="n">
        <v>1</v>
      </c>
      <c r="U133" s="6" t="n">
        <f aca="false">ROUND(2*T133^2*IF(D133="Rare Active",6,IF(D133="Workhorse",2,1))+(K133+M133+O133)/2,0)</f>
        <v>8</v>
      </c>
      <c r="V133" s="7" t="n">
        <v>45</v>
      </c>
      <c r="W133" s="6" t="str">
        <f aca="false">IF(COUNTIF(Plants!$A$2:$A$1000,C133)&gt;0,"yes","")</f>
        <v>yes</v>
      </c>
    </row>
    <row r="134" customFormat="false" ht="15" hidden="false" customHeight="false" outlineLevel="0" collapsed="false">
      <c r="A134" s="6" t="s">
        <v>727</v>
      </c>
      <c r="B134" s="7" t="s">
        <v>728</v>
      </c>
      <c r="C134" s="7" t="s">
        <v>729</v>
      </c>
      <c r="D134" s="7" t="s">
        <v>45</v>
      </c>
      <c r="E134" s="7" t="s">
        <v>139</v>
      </c>
      <c r="F134" s="7" t="s">
        <v>47</v>
      </c>
      <c r="G134" s="7" t="n">
        <v>6</v>
      </c>
      <c r="H134" s="7" t="n">
        <v>9</v>
      </c>
      <c r="I134" s="7" t="n">
        <v>9</v>
      </c>
      <c r="J134" s="7" t="s">
        <v>66</v>
      </c>
      <c r="K134" s="7" t="n">
        <v>5</v>
      </c>
      <c r="L134" s="7"/>
      <c r="M134" s="7"/>
      <c r="N134" s="7"/>
      <c r="O134" s="7"/>
      <c r="P134" s="7" t="n">
        <v>0</v>
      </c>
      <c r="Q134" s="7" t="s">
        <v>720</v>
      </c>
      <c r="R134" s="7" t="s">
        <v>720</v>
      </c>
      <c r="S134" s="7" t="s">
        <v>730</v>
      </c>
      <c r="T134" s="7" t="n">
        <v>1</v>
      </c>
      <c r="U134" s="6" t="n">
        <f aca="false">ROUND(2*T134^2*IF(D134="Rare Active",6,IF(D134="Workhorse",2,1))+(K134+M134+O134)/2,0)</f>
        <v>5</v>
      </c>
      <c r="V134" s="7" t="n">
        <v>45</v>
      </c>
      <c r="W134" s="6" t="str">
        <f aca="false">IF(COUNTIF(Plants!$A$2:$A$1000,C134)&gt;0,"yes","")</f>
        <v/>
      </c>
    </row>
    <row r="135" customFormat="false" ht="15" hidden="false" customHeight="false" outlineLevel="0" collapsed="false">
      <c r="A135" s="6" t="s">
        <v>731</v>
      </c>
      <c r="B135" s="7" t="s">
        <v>732</v>
      </c>
      <c r="C135" s="7" t="s">
        <v>733</v>
      </c>
      <c r="D135" s="7" t="s">
        <v>77</v>
      </c>
      <c r="E135" s="7" t="s">
        <v>541</v>
      </c>
      <c r="F135" s="7" t="s">
        <v>47</v>
      </c>
      <c r="G135" s="7" t="n">
        <v>6</v>
      </c>
      <c r="H135" s="7" t="n">
        <v>9</v>
      </c>
      <c r="I135" s="7" t="n">
        <v>9</v>
      </c>
      <c r="J135" s="7" t="s">
        <v>66</v>
      </c>
      <c r="K135" s="7" t="n">
        <v>4</v>
      </c>
      <c r="L135" s="7" t="s">
        <v>65</v>
      </c>
      <c r="M135" s="7" t="n">
        <v>3</v>
      </c>
      <c r="N135" s="7"/>
      <c r="O135" s="7"/>
      <c r="P135" s="7" t="n">
        <v>0</v>
      </c>
      <c r="Q135" s="7" t="s">
        <v>499</v>
      </c>
      <c r="R135" s="7" t="s">
        <v>388</v>
      </c>
      <c r="S135" s="7" t="s">
        <v>734</v>
      </c>
      <c r="T135" s="7" t="n">
        <v>1</v>
      </c>
      <c r="U135" s="6" t="n">
        <f aca="false">ROUND(2*T135^2*IF(D135="Rare Active",6,IF(D135="Workhorse",2,1))+(K135+M135+O135)/2,0)</f>
        <v>8</v>
      </c>
      <c r="V135" s="7" t="n">
        <v>45</v>
      </c>
      <c r="W135" s="6" t="str">
        <f aca="false">IF(COUNTIF(Plants!$A$2:$A$1000,C135)&gt;0,"yes","")</f>
        <v>yes</v>
      </c>
    </row>
    <row r="136" customFormat="false" ht="15" hidden="false" customHeight="false" outlineLevel="0" collapsed="false">
      <c r="A136" s="6" t="s">
        <v>735</v>
      </c>
      <c r="B136" s="7" t="s">
        <v>736</v>
      </c>
      <c r="C136" s="7" t="s">
        <v>737</v>
      </c>
      <c r="D136" s="7" t="s">
        <v>77</v>
      </c>
      <c r="E136" s="7" t="s">
        <v>541</v>
      </c>
      <c r="F136" s="7" t="s">
        <v>78</v>
      </c>
      <c r="G136" s="7" t="n">
        <v>3</v>
      </c>
      <c r="H136" s="7" t="n">
        <v>11</v>
      </c>
      <c r="I136" s="7" t="n">
        <v>0</v>
      </c>
      <c r="J136" s="7" t="s">
        <v>57</v>
      </c>
      <c r="K136" s="7" t="n">
        <v>7</v>
      </c>
      <c r="L136" s="7" t="s">
        <v>289</v>
      </c>
      <c r="M136" s="7" t="n">
        <v>3</v>
      </c>
      <c r="N136" s="7"/>
      <c r="O136" s="7"/>
      <c r="P136" s="7" t="n">
        <v>4</v>
      </c>
      <c r="Q136" s="7" t="s">
        <v>738</v>
      </c>
      <c r="R136" s="7" t="s">
        <v>60</v>
      </c>
      <c r="S136" s="7" t="s">
        <v>739</v>
      </c>
      <c r="T136" s="7" t="n">
        <v>2</v>
      </c>
      <c r="U136" s="6" t="n">
        <f aca="false">ROUND(2*T136^2*IF(D136="Rare Active",6,IF(D136="Workhorse",2,1))+(K136+M136+O136)/2,0)</f>
        <v>21</v>
      </c>
      <c r="V136" s="7" t="n">
        <v>120</v>
      </c>
      <c r="W136" s="6" t="str">
        <f aca="false">IF(COUNTIF(Plants!$A$2:$A$1000,C136)&gt;0,"yes","")</f>
        <v>yes</v>
      </c>
    </row>
    <row r="137" customFormat="false" ht="15" hidden="false" customHeight="false" outlineLevel="0" collapsed="false">
      <c r="A137" s="6" t="s">
        <v>740</v>
      </c>
      <c r="B137" s="7" t="s">
        <v>741</v>
      </c>
      <c r="C137" s="7" t="s">
        <v>742</v>
      </c>
      <c r="D137" s="7" t="s">
        <v>77</v>
      </c>
      <c r="E137" s="7" t="s">
        <v>541</v>
      </c>
      <c r="F137" s="7" t="s">
        <v>47</v>
      </c>
      <c r="G137" s="7" t="n">
        <v>6</v>
      </c>
      <c r="H137" s="7" t="n">
        <v>9</v>
      </c>
      <c r="I137" s="7" t="n">
        <v>9</v>
      </c>
      <c r="J137" s="7" t="s">
        <v>79</v>
      </c>
      <c r="K137" s="7" t="n">
        <v>6</v>
      </c>
      <c r="L137" s="7" t="s">
        <v>66</v>
      </c>
      <c r="M137" s="7" t="n">
        <v>3</v>
      </c>
      <c r="N137" s="7"/>
      <c r="O137" s="7"/>
      <c r="P137" s="7" t="n">
        <v>1</v>
      </c>
      <c r="Q137" s="7" t="s">
        <v>548</v>
      </c>
      <c r="R137" s="7" t="s">
        <v>743</v>
      </c>
      <c r="S137" s="7" t="s">
        <v>744</v>
      </c>
      <c r="T137" s="7" t="n">
        <v>1</v>
      </c>
      <c r="U137" s="6" t="n">
        <f aca="false">ROUND(2*T137^2*IF(D137="Rare Active",6,IF(D137="Workhorse",2,1))+(K137+M137+O137)/2,0)</f>
        <v>9</v>
      </c>
      <c r="V137" s="7" t="n">
        <v>45</v>
      </c>
      <c r="W137" s="6" t="str">
        <f aca="false">IF(COUNTIF(Plants!$A$2:$A$1000,C137)&gt;0,"yes","")</f>
        <v>yes</v>
      </c>
    </row>
    <row r="138" customFormat="false" ht="15" hidden="false" customHeight="false" outlineLevel="0" collapsed="false">
      <c r="A138" s="6" t="s">
        <v>745</v>
      </c>
      <c r="B138" s="7" t="s">
        <v>746</v>
      </c>
      <c r="C138" s="7" t="s">
        <v>747</v>
      </c>
      <c r="D138" s="7" t="s">
        <v>45</v>
      </c>
      <c r="E138" s="7" t="s">
        <v>541</v>
      </c>
      <c r="F138" s="7" t="s">
        <v>120</v>
      </c>
      <c r="G138" s="7" t="n">
        <v>7</v>
      </c>
      <c r="H138" s="7" t="n">
        <v>9</v>
      </c>
      <c r="I138" s="7" t="n">
        <v>9</v>
      </c>
      <c r="J138" s="7" t="s">
        <v>66</v>
      </c>
      <c r="K138" s="7" t="n">
        <v>6</v>
      </c>
      <c r="L138" s="7"/>
      <c r="M138" s="7"/>
      <c r="N138" s="7"/>
      <c r="O138" s="7"/>
      <c r="P138" s="7" t="n">
        <v>6</v>
      </c>
      <c r="Q138" s="7" t="s">
        <v>748</v>
      </c>
      <c r="R138" s="7" t="s">
        <v>749</v>
      </c>
      <c r="S138" s="7" t="s">
        <v>750</v>
      </c>
      <c r="T138" s="7" t="n">
        <v>1</v>
      </c>
      <c r="U138" s="6" t="n">
        <f aca="false">ROUND(2*T138^2*IF(D138="Rare Active",6,IF(D138="Workhorse",2,1))+(K138+M138+O138)/2,0)</f>
        <v>5</v>
      </c>
      <c r="V138" s="7" t="n">
        <v>30</v>
      </c>
      <c r="W138" s="6" t="str">
        <f aca="false">IF(COUNTIF(Plants!$A$2:$A$1000,C138)&gt;0,"yes","")</f>
        <v>yes</v>
      </c>
    </row>
    <row r="139" customFormat="false" ht="15" hidden="false" customHeight="false" outlineLevel="0" collapsed="false">
      <c r="A139" s="6" t="s">
        <v>751</v>
      </c>
      <c r="B139" s="7" t="s">
        <v>752</v>
      </c>
      <c r="C139" s="7" t="s">
        <v>753</v>
      </c>
      <c r="D139" s="7" t="s">
        <v>77</v>
      </c>
      <c r="E139" s="7" t="s">
        <v>541</v>
      </c>
      <c r="F139" s="7" t="s">
        <v>47</v>
      </c>
      <c r="G139" s="7" t="n">
        <v>7</v>
      </c>
      <c r="H139" s="7" t="n">
        <v>9</v>
      </c>
      <c r="I139" s="7" t="n">
        <v>9</v>
      </c>
      <c r="J139" s="7" t="s">
        <v>79</v>
      </c>
      <c r="K139" s="7" t="n">
        <v>9</v>
      </c>
      <c r="L139" s="7" t="s">
        <v>66</v>
      </c>
      <c r="M139" s="7" t="n">
        <v>5</v>
      </c>
      <c r="N139" s="7"/>
      <c r="O139" s="7"/>
      <c r="P139" s="7" t="n">
        <v>5</v>
      </c>
      <c r="Q139" s="7" t="s">
        <v>754</v>
      </c>
      <c r="R139" s="7" t="s">
        <v>755</v>
      </c>
      <c r="S139" s="7" t="s">
        <v>756</v>
      </c>
      <c r="T139" s="7" t="n">
        <v>1</v>
      </c>
      <c r="U139" s="6" t="n">
        <f aca="false">ROUND(2*T139^2*IF(D139="Rare Active",6,IF(D139="Workhorse",2,1))+(K139+M139+O139)/2,0)</f>
        <v>11</v>
      </c>
      <c r="V139" s="7" t="n">
        <v>45</v>
      </c>
      <c r="W139" s="6" t="str">
        <f aca="false">IF(COUNTIF(Plants!$A$2:$A$1000,C139)&gt;0,"yes","")</f>
        <v>yes</v>
      </c>
    </row>
    <row r="140" customFormat="false" ht="15" hidden="false" customHeight="false" outlineLevel="0" collapsed="false">
      <c r="A140" s="6" t="s">
        <v>757</v>
      </c>
      <c r="B140" s="7" t="s">
        <v>758</v>
      </c>
      <c r="C140" s="7" t="s">
        <v>759</v>
      </c>
      <c r="D140" s="7" t="s">
        <v>77</v>
      </c>
      <c r="E140" s="7" t="s">
        <v>46</v>
      </c>
      <c r="F140" s="7" t="s">
        <v>47</v>
      </c>
      <c r="G140" s="7" t="n">
        <v>7</v>
      </c>
      <c r="H140" s="7" t="n">
        <v>9</v>
      </c>
      <c r="I140" s="7" t="n">
        <v>9</v>
      </c>
      <c r="J140" s="7" t="s">
        <v>66</v>
      </c>
      <c r="K140" s="7" t="n">
        <v>5</v>
      </c>
      <c r="L140" s="7" t="s">
        <v>79</v>
      </c>
      <c r="M140" s="7" t="n">
        <v>4</v>
      </c>
      <c r="N140" s="7"/>
      <c r="O140" s="7"/>
      <c r="P140" s="7" t="n">
        <v>2</v>
      </c>
      <c r="Q140" s="7" t="s">
        <v>760</v>
      </c>
      <c r="R140" s="7" t="s">
        <v>755</v>
      </c>
      <c r="S140" s="7" t="s">
        <v>761</v>
      </c>
      <c r="T140" s="7" t="n">
        <v>1</v>
      </c>
      <c r="U140" s="6" t="n">
        <f aca="false">ROUND(2*T140^2*IF(D140="Rare Active",6,IF(D140="Workhorse",2,1))+(K140+M140+O140)/2,0)</f>
        <v>9</v>
      </c>
      <c r="V140" s="7" t="n">
        <v>45</v>
      </c>
      <c r="W140" s="6" t="str">
        <f aca="false">IF(COUNTIF(Plants!$A$2:$A$1000,C140)&gt;0,"yes","")</f>
        <v>yes</v>
      </c>
    </row>
    <row r="141" customFormat="false" ht="15" hidden="false" customHeight="false" outlineLevel="0" collapsed="false">
      <c r="A141" s="6" t="s">
        <v>762</v>
      </c>
      <c r="B141" s="7" t="s">
        <v>763</v>
      </c>
      <c r="C141" s="7" t="s">
        <v>764</v>
      </c>
      <c r="D141" s="7" t="s">
        <v>45</v>
      </c>
      <c r="E141" s="7" t="s">
        <v>541</v>
      </c>
      <c r="F141" s="7" t="s">
        <v>47</v>
      </c>
      <c r="G141" s="7" t="n">
        <v>5</v>
      </c>
      <c r="H141" s="7" t="n">
        <v>10</v>
      </c>
      <c r="I141" s="7" t="n">
        <v>0</v>
      </c>
      <c r="J141" s="7" t="s">
        <v>66</v>
      </c>
      <c r="K141" s="7" t="n">
        <v>5</v>
      </c>
      <c r="L141" s="7" t="s">
        <v>108</v>
      </c>
      <c r="M141" s="7" t="n">
        <v>3</v>
      </c>
      <c r="N141" s="7"/>
      <c r="O141" s="7"/>
      <c r="P141" s="7" t="n">
        <v>1</v>
      </c>
      <c r="Q141" s="7" t="s">
        <v>765</v>
      </c>
      <c r="R141" s="7" t="s">
        <v>755</v>
      </c>
      <c r="S141" s="7" t="s">
        <v>766</v>
      </c>
      <c r="T141" s="7" t="n">
        <v>1</v>
      </c>
      <c r="U141" s="6" t="n">
        <f aca="false">ROUND(2*T141^2*IF(D141="Rare Active",6,IF(D141="Workhorse",2,1))+(K141+M141+O141)/2,0)</f>
        <v>6</v>
      </c>
      <c r="V141" s="7" t="n">
        <v>45</v>
      </c>
      <c r="W141" s="6" t="str">
        <f aca="false">IF(COUNTIF(Plants!$A$2:$A$1000,C141)&gt;0,"yes","")</f>
        <v>yes</v>
      </c>
    </row>
    <row r="142" customFormat="false" ht="15" hidden="false" customHeight="false" outlineLevel="0" collapsed="false">
      <c r="A142" s="6" t="s">
        <v>767</v>
      </c>
      <c r="B142" s="7" t="s">
        <v>768</v>
      </c>
      <c r="C142" s="7" t="s">
        <v>769</v>
      </c>
      <c r="D142" s="7" t="s">
        <v>77</v>
      </c>
      <c r="E142" s="7" t="s">
        <v>541</v>
      </c>
      <c r="F142" s="7" t="s">
        <v>78</v>
      </c>
      <c r="G142" s="7" t="n">
        <v>9</v>
      </c>
      <c r="H142" s="7" t="n">
        <v>4</v>
      </c>
      <c r="I142" s="7" t="n">
        <v>0</v>
      </c>
      <c r="J142" s="7" t="s">
        <v>113</v>
      </c>
      <c r="K142" s="7" t="n">
        <v>7</v>
      </c>
      <c r="L142" s="7"/>
      <c r="M142" s="7"/>
      <c r="N142" s="7"/>
      <c r="O142" s="7"/>
      <c r="P142" s="7" t="n">
        <v>1</v>
      </c>
      <c r="Q142" s="7" t="s">
        <v>770</v>
      </c>
      <c r="R142" s="7" t="s">
        <v>438</v>
      </c>
      <c r="S142" s="7" t="s">
        <v>771</v>
      </c>
      <c r="T142" s="7" t="n">
        <v>1</v>
      </c>
      <c r="U142" s="6" t="n">
        <f aca="false">ROUND(2*T142^2*IF(D142="Rare Active",6,IF(D142="Workhorse",2,1))+(K142+M142+O142)/2,0)</f>
        <v>8</v>
      </c>
      <c r="V142" s="7" t="n">
        <v>120</v>
      </c>
      <c r="W142" s="6" t="str">
        <f aca="false">IF(COUNTIF(Plants!$A$2:$A$1000,C142)&gt;0,"yes","")</f>
        <v>yes</v>
      </c>
    </row>
    <row r="143" customFormat="false" ht="15" hidden="false" customHeight="false" outlineLevel="0" collapsed="false">
      <c r="A143" s="6" t="s">
        <v>772</v>
      </c>
      <c r="B143" s="7" t="s">
        <v>773</v>
      </c>
      <c r="C143" s="7" t="s">
        <v>774</v>
      </c>
      <c r="D143" s="7" t="s">
        <v>77</v>
      </c>
      <c r="E143" s="7" t="s">
        <v>541</v>
      </c>
      <c r="F143" s="7" t="s">
        <v>120</v>
      </c>
      <c r="G143" s="7" t="n">
        <v>6</v>
      </c>
      <c r="H143" s="7" t="n">
        <v>10</v>
      </c>
      <c r="I143" s="7" t="n">
        <v>9</v>
      </c>
      <c r="J143" s="7" t="s">
        <v>65</v>
      </c>
      <c r="K143" s="7" t="n">
        <v>4</v>
      </c>
      <c r="L143" s="7" t="s">
        <v>176</v>
      </c>
      <c r="M143" s="7" t="n">
        <v>3</v>
      </c>
      <c r="N143" s="7" t="s">
        <v>114</v>
      </c>
      <c r="O143" s="7" t="n">
        <v>3</v>
      </c>
      <c r="P143" s="7" t="n">
        <v>0</v>
      </c>
      <c r="Q143" s="7" t="s">
        <v>775</v>
      </c>
      <c r="R143" s="7" t="s">
        <v>653</v>
      </c>
      <c r="S143" s="7" t="s">
        <v>776</v>
      </c>
      <c r="T143" s="7" t="n">
        <v>1</v>
      </c>
      <c r="U143" s="6" t="n">
        <f aca="false">ROUND(2*T143^2*IF(D143="Rare Active",6,IF(D143="Workhorse",2,1))+(K143+M143+O143)/2,0)</f>
        <v>9</v>
      </c>
      <c r="V143" s="7" t="n">
        <v>30</v>
      </c>
      <c r="W143" s="6" t="str">
        <f aca="false">IF(COUNTIF(Plants!$A$2:$A$1000,C143)&gt;0,"yes","")</f>
        <v>yes</v>
      </c>
    </row>
    <row r="144" customFormat="false" ht="15" hidden="false" customHeight="false" outlineLevel="0" collapsed="false">
      <c r="A144" s="6" t="s">
        <v>777</v>
      </c>
      <c r="B144" s="7" t="s">
        <v>778</v>
      </c>
      <c r="C144" s="7" t="s">
        <v>779</v>
      </c>
      <c r="D144" s="7" t="s">
        <v>77</v>
      </c>
      <c r="E144" s="7" t="s">
        <v>541</v>
      </c>
      <c r="F144" s="7" t="s">
        <v>120</v>
      </c>
      <c r="G144" s="7" t="n">
        <v>5</v>
      </c>
      <c r="H144" s="7" t="n">
        <v>8</v>
      </c>
      <c r="I144" s="7" t="n">
        <v>8</v>
      </c>
      <c r="J144" s="7" t="s">
        <v>66</v>
      </c>
      <c r="K144" s="7" t="n">
        <v>4</v>
      </c>
      <c r="L144" s="7" t="s">
        <v>65</v>
      </c>
      <c r="M144" s="7" t="n">
        <v>4</v>
      </c>
      <c r="N144" s="7"/>
      <c r="O144" s="7"/>
      <c r="P144" s="7" t="n">
        <v>0</v>
      </c>
      <c r="Q144" s="7" t="s">
        <v>780</v>
      </c>
      <c r="R144" s="7" t="s">
        <v>523</v>
      </c>
      <c r="S144" s="7" t="s">
        <v>781</v>
      </c>
      <c r="T144" s="7" t="n">
        <v>2</v>
      </c>
      <c r="U144" s="6" t="n">
        <f aca="false">ROUND(2*T144^2*IF(D144="Rare Active",6,IF(D144="Workhorse",2,1))+(K144+M144+O144)/2,0)</f>
        <v>20</v>
      </c>
      <c r="V144" s="7" t="n">
        <v>30</v>
      </c>
      <c r="W144" s="6" t="str">
        <f aca="false">IF(COUNTIF(Plants!$A$2:$A$1000,C144)&gt;0,"yes","")</f>
        <v>yes</v>
      </c>
    </row>
    <row r="145" customFormat="false" ht="15" hidden="false" customHeight="false" outlineLevel="0" collapsed="false">
      <c r="A145" s="6" t="s">
        <v>782</v>
      </c>
      <c r="B145" s="7" t="s">
        <v>783</v>
      </c>
      <c r="C145" s="7" t="s">
        <v>784</v>
      </c>
      <c r="D145" s="7" t="s">
        <v>77</v>
      </c>
      <c r="E145" s="7" t="s">
        <v>541</v>
      </c>
      <c r="F145" s="7" t="s">
        <v>120</v>
      </c>
      <c r="G145" s="7" t="n">
        <v>8</v>
      </c>
      <c r="H145" s="7" t="n">
        <v>9</v>
      </c>
      <c r="I145" s="7" t="n">
        <v>0</v>
      </c>
      <c r="J145" s="7" t="s">
        <v>79</v>
      </c>
      <c r="K145" s="7" t="n">
        <v>6</v>
      </c>
      <c r="L145" s="7" t="s">
        <v>176</v>
      </c>
      <c r="M145" s="7" t="n">
        <v>4</v>
      </c>
      <c r="N145" s="7" t="s">
        <v>66</v>
      </c>
      <c r="O145" s="7" t="n">
        <v>3</v>
      </c>
      <c r="P145" s="7" t="n">
        <v>0</v>
      </c>
      <c r="Q145" s="7" t="s">
        <v>81</v>
      </c>
      <c r="R145" s="7" t="s">
        <v>785</v>
      </c>
      <c r="S145" s="7" t="s">
        <v>786</v>
      </c>
      <c r="T145" s="7" t="n">
        <v>2</v>
      </c>
      <c r="U145" s="6" t="n">
        <f aca="false">ROUND(2*T145^2*IF(D145="Rare Active",6,IF(D145="Workhorse",2,1))+(K145+M145+O145)/2,0)</f>
        <v>23</v>
      </c>
      <c r="V145" s="7" t="n">
        <v>30</v>
      </c>
      <c r="W145" s="6" t="str">
        <f aca="false">IF(COUNTIF(Plants!$A$2:$A$1000,C145)&gt;0,"yes","")</f>
        <v>yes</v>
      </c>
    </row>
    <row r="146" customFormat="false" ht="15" hidden="false" customHeight="false" outlineLevel="0" collapsed="false">
      <c r="A146" s="6" t="s">
        <v>787</v>
      </c>
      <c r="B146" s="7" t="s">
        <v>788</v>
      </c>
      <c r="C146" s="7" t="s">
        <v>789</v>
      </c>
      <c r="D146" s="7" t="s">
        <v>45</v>
      </c>
      <c r="E146" s="7" t="s">
        <v>541</v>
      </c>
      <c r="F146" s="7" t="s">
        <v>78</v>
      </c>
      <c r="G146" s="7" t="n">
        <v>5</v>
      </c>
      <c r="H146" s="7" t="n">
        <v>10</v>
      </c>
      <c r="I146" s="7" t="n">
        <v>0</v>
      </c>
      <c r="J146" s="7" t="s">
        <v>58</v>
      </c>
      <c r="K146" s="7" t="n">
        <v>7</v>
      </c>
      <c r="L146" s="7"/>
      <c r="M146" s="7"/>
      <c r="N146" s="7"/>
      <c r="O146" s="7"/>
      <c r="P146" s="7" t="n">
        <v>3</v>
      </c>
      <c r="Q146" s="7" t="s">
        <v>790</v>
      </c>
      <c r="R146" s="7" t="s">
        <v>60</v>
      </c>
      <c r="S146" s="7" t="s">
        <v>791</v>
      </c>
      <c r="T146" s="7" t="n">
        <v>1</v>
      </c>
      <c r="U146" s="6" t="n">
        <f aca="false">ROUND(2*T146^2*IF(D146="Rare Active",6,IF(D146="Workhorse",2,1))+(K146+M146+O146)/2,0)</f>
        <v>6</v>
      </c>
      <c r="V146" s="7" t="n">
        <v>120</v>
      </c>
      <c r="W146" s="6" t="str">
        <f aca="false">IF(COUNTIF(Plants!$A$2:$A$1000,C146)&gt;0,"yes","")</f>
        <v>yes</v>
      </c>
    </row>
    <row r="147" customFormat="false" ht="15" hidden="false" customHeight="false" outlineLevel="0" collapsed="false">
      <c r="A147" s="6" t="s">
        <v>792</v>
      </c>
      <c r="B147" s="7" t="s">
        <v>793</v>
      </c>
      <c r="C147" s="7" t="s">
        <v>794</v>
      </c>
      <c r="D147" s="7" t="s">
        <v>45</v>
      </c>
      <c r="E147" s="7" t="s">
        <v>46</v>
      </c>
      <c r="F147" s="7" t="s">
        <v>78</v>
      </c>
      <c r="G147" s="7" t="n">
        <v>9</v>
      </c>
      <c r="H147" s="7" t="n">
        <v>10</v>
      </c>
      <c r="I147" s="7" t="n">
        <v>0</v>
      </c>
      <c r="J147" s="7" t="s">
        <v>113</v>
      </c>
      <c r="K147" s="7" t="n">
        <v>2</v>
      </c>
      <c r="L147" s="7"/>
      <c r="M147" s="7"/>
      <c r="N147" s="7"/>
      <c r="O147" s="7"/>
      <c r="P147" s="7" t="n">
        <v>0</v>
      </c>
      <c r="Q147" s="7" t="s">
        <v>81</v>
      </c>
      <c r="R147" s="7" t="s">
        <v>60</v>
      </c>
      <c r="S147" s="7" t="s">
        <v>795</v>
      </c>
      <c r="T147" s="7" t="n">
        <v>1</v>
      </c>
      <c r="U147" s="6" t="n">
        <f aca="false">ROUND(2*T147^2*IF(D147="Rare Active",6,IF(D147="Workhorse",2,1))+(K147+M147+O147)/2,0)</f>
        <v>3</v>
      </c>
      <c r="V147" s="7" t="n">
        <v>120</v>
      </c>
      <c r="W147" s="6" t="str">
        <f aca="false">IF(COUNTIF(Plants!$A$2:$A$1000,C147)&gt;0,"yes","")</f>
        <v>yes</v>
      </c>
    </row>
    <row r="148" customFormat="false" ht="15" hidden="false" customHeight="false" outlineLevel="0" collapsed="false">
      <c r="A148" s="6" t="s">
        <v>796</v>
      </c>
      <c r="B148" s="7" t="s">
        <v>797</v>
      </c>
      <c r="C148" s="7" t="s">
        <v>798</v>
      </c>
      <c r="D148" s="7" t="s">
        <v>45</v>
      </c>
      <c r="E148" s="7" t="s">
        <v>46</v>
      </c>
      <c r="F148" s="7" t="s">
        <v>78</v>
      </c>
      <c r="G148" s="7" t="n">
        <v>9</v>
      </c>
      <c r="H148" s="7" t="n">
        <v>11</v>
      </c>
      <c r="I148" s="7" t="n">
        <v>9</v>
      </c>
      <c r="J148" s="7" t="s">
        <v>79</v>
      </c>
      <c r="K148" s="7" t="n">
        <v>4</v>
      </c>
      <c r="L148" s="7" t="s">
        <v>48</v>
      </c>
      <c r="M148" s="7" t="n">
        <v>4</v>
      </c>
      <c r="N148" s="7"/>
      <c r="O148" s="7"/>
      <c r="P148" s="7" t="n">
        <v>0</v>
      </c>
      <c r="Q148" s="7" t="s">
        <v>799</v>
      </c>
      <c r="R148" s="7" t="s">
        <v>800</v>
      </c>
      <c r="S148" s="7" t="s">
        <v>801</v>
      </c>
      <c r="T148" s="7" t="n">
        <v>1</v>
      </c>
      <c r="U148" s="6" t="n">
        <f aca="false">ROUND(2*T148^2*IF(D148="Rare Active",6,IF(D148="Workhorse",2,1))+(K148+M148+O148)/2,0)</f>
        <v>6</v>
      </c>
      <c r="V148" s="7" t="n">
        <v>120</v>
      </c>
      <c r="W148" s="6" t="str">
        <f aca="false">IF(COUNTIF(Plants!$A$2:$A$1000,C148)&gt;0,"yes","")</f>
        <v>yes</v>
      </c>
    </row>
    <row r="149" customFormat="false" ht="15" hidden="false" customHeight="false" outlineLevel="0" collapsed="false">
      <c r="A149" s="6" t="s">
        <v>802</v>
      </c>
      <c r="B149" s="7" t="s">
        <v>803</v>
      </c>
      <c r="C149" s="7" t="s">
        <v>804</v>
      </c>
      <c r="D149" s="7" t="s">
        <v>45</v>
      </c>
      <c r="E149" s="7" t="s">
        <v>46</v>
      </c>
      <c r="F149" s="7" t="s">
        <v>120</v>
      </c>
      <c r="G149" s="7" t="n">
        <v>6</v>
      </c>
      <c r="H149" s="7" t="n">
        <v>8</v>
      </c>
      <c r="I149" s="7" t="n">
        <v>8</v>
      </c>
      <c r="J149" s="7" t="s">
        <v>66</v>
      </c>
      <c r="K149" s="7" t="n">
        <v>3</v>
      </c>
      <c r="L149" s="7"/>
      <c r="M149" s="7"/>
      <c r="N149" s="7"/>
      <c r="O149" s="7"/>
      <c r="P149" s="7" t="n">
        <v>0</v>
      </c>
      <c r="Q149" s="7" t="s">
        <v>805</v>
      </c>
      <c r="R149" s="7" t="s">
        <v>805</v>
      </c>
      <c r="S149" s="7" t="s">
        <v>806</v>
      </c>
      <c r="T149" s="7" t="n">
        <v>1</v>
      </c>
      <c r="U149" s="6" t="n">
        <f aca="false">ROUND(2*T149^2*IF(D149="Rare Active",6,IF(D149="Workhorse",2,1))+(K149+M149+O149)/2,0)</f>
        <v>4</v>
      </c>
      <c r="V149" s="7" t="n">
        <v>30</v>
      </c>
      <c r="W149" s="6" t="str">
        <f aca="false">IF(COUNTIF(Plants!$A$2:$A$1000,C149)&gt;0,"yes","")</f>
        <v>yes</v>
      </c>
    </row>
    <row r="150" customFormat="false" ht="15" hidden="false" customHeight="false" outlineLevel="0" collapsed="false">
      <c r="A150" s="6" t="s">
        <v>807</v>
      </c>
      <c r="B150" s="7" t="s">
        <v>808</v>
      </c>
      <c r="C150" s="7" t="s">
        <v>809</v>
      </c>
      <c r="D150" s="7" t="s">
        <v>45</v>
      </c>
      <c r="E150" s="7" t="s">
        <v>46</v>
      </c>
      <c r="F150" s="7" t="s">
        <v>56</v>
      </c>
      <c r="G150" s="7" t="n">
        <v>3</v>
      </c>
      <c r="H150" s="7" t="n">
        <v>6</v>
      </c>
      <c r="I150" s="7" t="n">
        <v>5</v>
      </c>
      <c r="J150" s="7" t="s">
        <v>65</v>
      </c>
      <c r="K150" s="7" t="n">
        <v>2</v>
      </c>
      <c r="L150" s="7" t="s">
        <v>289</v>
      </c>
      <c r="M150" s="7" t="n">
        <v>1</v>
      </c>
      <c r="N150" s="7"/>
      <c r="O150" s="7"/>
      <c r="P150" s="7" t="n">
        <v>0</v>
      </c>
      <c r="Q150" s="7" t="s">
        <v>810</v>
      </c>
      <c r="R150" s="7" t="s">
        <v>811</v>
      </c>
      <c r="S150" s="7" t="s">
        <v>812</v>
      </c>
      <c r="T150" s="7" t="n">
        <v>1</v>
      </c>
      <c r="U150" s="6" t="n">
        <f aca="false">ROUND(2*T150^2*IF(D150="Rare Active",6,IF(D150="Workhorse",2,1))+(K150+M150+O150)/2,0)</f>
        <v>4</v>
      </c>
      <c r="V150" s="7" t="n">
        <v>40</v>
      </c>
      <c r="W150" s="6" t="str">
        <f aca="false">IF(COUNTIF(Plants!$A$2:$A$1000,C150)&gt;0,"yes","")</f>
        <v>yes</v>
      </c>
    </row>
    <row r="151" customFormat="false" ht="15" hidden="false" customHeight="false" outlineLevel="0" collapsed="false">
      <c r="A151" s="6" t="s">
        <v>813</v>
      </c>
      <c r="B151" s="7" t="s">
        <v>814</v>
      </c>
      <c r="C151" s="7" t="s">
        <v>815</v>
      </c>
      <c r="D151" s="7" t="s">
        <v>45</v>
      </c>
      <c r="E151" s="7" t="s">
        <v>46</v>
      </c>
      <c r="F151" s="7" t="s">
        <v>47</v>
      </c>
      <c r="G151" s="7" t="n">
        <v>6</v>
      </c>
      <c r="H151" s="7" t="n">
        <v>9</v>
      </c>
      <c r="I151" s="7" t="n">
        <v>8</v>
      </c>
      <c r="J151" s="7" t="s">
        <v>49</v>
      </c>
      <c r="K151" s="7" t="n">
        <v>3</v>
      </c>
      <c r="L151" s="7" t="s">
        <v>57</v>
      </c>
      <c r="M151" s="7" t="n">
        <v>2</v>
      </c>
      <c r="N151" s="7"/>
      <c r="O151" s="7"/>
      <c r="P151" s="7" t="n">
        <v>0</v>
      </c>
      <c r="Q151" s="7" t="s">
        <v>816</v>
      </c>
      <c r="R151" s="7" t="s">
        <v>102</v>
      </c>
      <c r="S151" s="7" t="s">
        <v>817</v>
      </c>
      <c r="T151" s="7" t="n">
        <v>1</v>
      </c>
      <c r="U151" s="6" t="n">
        <f aca="false">ROUND(2*T151^2*IF(D151="Rare Active",6,IF(D151="Workhorse",2,1))+(K151+M151+O151)/2,0)</f>
        <v>5</v>
      </c>
      <c r="V151" s="7" t="n">
        <v>45</v>
      </c>
      <c r="W151" s="6" t="str">
        <f aca="false">IF(COUNTIF(Plants!$A$2:$A$1000,C151)&gt;0,"yes","")</f>
        <v>yes</v>
      </c>
    </row>
    <row r="152" customFormat="false" ht="15" hidden="false" customHeight="false" outlineLevel="0" collapsed="false">
      <c r="A152" s="6" t="s">
        <v>818</v>
      </c>
      <c r="B152" s="7" t="s">
        <v>819</v>
      </c>
      <c r="C152" s="7" t="s">
        <v>820</v>
      </c>
      <c r="D152" s="7" t="s">
        <v>45</v>
      </c>
      <c r="E152" s="7" t="s">
        <v>46</v>
      </c>
      <c r="F152" s="7" t="s">
        <v>175</v>
      </c>
      <c r="G152" s="7" t="n">
        <v>8</v>
      </c>
      <c r="H152" s="7" t="n">
        <v>10</v>
      </c>
      <c r="I152" s="7" t="n">
        <v>0</v>
      </c>
      <c r="J152" s="7" t="s">
        <v>48</v>
      </c>
      <c r="K152" s="7" t="n">
        <v>4</v>
      </c>
      <c r="L152" s="7"/>
      <c r="M152" s="7"/>
      <c r="N152" s="7"/>
      <c r="O152" s="7"/>
      <c r="P152" s="7" t="n">
        <v>0</v>
      </c>
      <c r="Q152" s="7" t="s">
        <v>821</v>
      </c>
      <c r="R152" s="7" t="s">
        <v>60</v>
      </c>
      <c r="S152" s="7" t="s">
        <v>822</v>
      </c>
      <c r="T152" s="7" t="n">
        <v>1</v>
      </c>
      <c r="U152" s="6" t="n">
        <f aca="false">ROUND(2*T152^2*IF(D152="Rare Active",6,IF(D152="Workhorse",2,1))+(K152+M152+O152)/2,0)</f>
        <v>4</v>
      </c>
      <c r="V152" s="7" t="n">
        <v>300</v>
      </c>
      <c r="W152" s="6" t="str">
        <f aca="false">IF(COUNTIF(Plants!$A$2:$A$1000,C152)&gt;0,"yes","")</f>
        <v>yes</v>
      </c>
    </row>
    <row r="153" customFormat="false" ht="15" hidden="false" customHeight="false" outlineLevel="0" collapsed="false">
      <c r="A153" s="6" t="s">
        <v>823</v>
      </c>
      <c r="B153" s="7" t="s">
        <v>824</v>
      </c>
      <c r="C153" s="7" t="s">
        <v>825</v>
      </c>
      <c r="D153" s="7" t="s">
        <v>45</v>
      </c>
      <c r="E153" s="7" t="s">
        <v>46</v>
      </c>
      <c r="F153" s="7" t="s">
        <v>47</v>
      </c>
      <c r="G153" s="7" t="n">
        <v>7</v>
      </c>
      <c r="H153" s="7" t="n">
        <v>9</v>
      </c>
      <c r="I153" s="7" t="n">
        <v>9</v>
      </c>
      <c r="J153" s="7" t="s">
        <v>79</v>
      </c>
      <c r="K153" s="7" t="n">
        <v>3</v>
      </c>
      <c r="L153" s="7"/>
      <c r="M153" s="7"/>
      <c r="N153" s="7"/>
      <c r="O153" s="7"/>
      <c r="P153" s="7" t="n">
        <v>0</v>
      </c>
      <c r="Q153" s="7" t="s">
        <v>81</v>
      </c>
      <c r="R153" s="7" t="s">
        <v>60</v>
      </c>
      <c r="S153" s="7" t="s">
        <v>826</v>
      </c>
      <c r="T153" s="7" t="n">
        <v>1</v>
      </c>
      <c r="U153" s="6" t="n">
        <f aca="false">ROUND(2*T153^2*IF(D153="Rare Active",6,IF(D153="Workhorse",2,1))+(K153+M153+O153)/2,0)</f>
        <v>4</v>
      </c>
      <c r="V153" s="7" t="n">
        <v>45</v>
      </c>
      <c r="W153" s="6" t="str">
        <f aca="false">IF(COUNTIF(Plants!$A$2:$A$1000,C153)&gt;0,"yes","")</f>
        <v>yes</v>
      </c>
    </row>
    <row r="154" customFormat="false" ht="15" hidden="false" customHeight="false" outlineLevel="0" collapsed="false">
      <c r="A154" s="6" t="s">
        <v>827</v>
      </c>
      <c r="B154" s="7" t="s">
        <v>828</v>
      </c>
      <c r="C154" s="7" t="s">
        <v>829</v>
      </c>
      <c r="D154" s="7" t="s">
        <v>45</v>
      </c>
      <c r="E154" s="7" t="s">
        <v>86</v>
      </c>
      <c r="F154" s="7" t="s">
        <v>830</v>
      </c>
      <c r="G154" s="7" t="n">
        <v>4</v>
      </c>
      <c r="H154" s="7" t="n">
        <v>5</v>
      </c>
      <c r="I154" s="7" t="n">
        <v>0</v>
      </c>
      <c r="J154" s="7" t="s">
        <v>113</v>
      </c>
      <c r="K154" s="7" t="n">
        <v>3</v>
      </c>
      <c r="L154" s="7"/>
      <c r="M154" s="7"/>
      <c r="N154" s="7"/>
      <c r="O154" s="7"/>
      <c r="P154" s="7" t="n">
        <v>5</v>
      </c>
      <c r="Q154" s="7" t="s">
        <v>831</v>
      </c>
      <c r="R154" s="7" t="s">
        <v>628</v>
      </c>
      <c r="S154" s="7" t="s">
        <v>832</v>
      </c>
      <c r="T154" s="7" t="n">
        <v>2</v>
      </c>
      <c r="U154" s="6" t="n">
        <f aca="false">ROUND(2*T154^2*IF(D154="Rare Active",6,IF(D154="Workhorse",2,1))+(K154+M154+O154)/2,0)</f>
        <v>10</v>
      </c>
      <c r="V154" s="7" t="n">
        <v>4</v>
      </c>
      <c r="W154" s="6" t="str">
        <f aca="false">IF(COUNTIF(Plants!$A$2:$A$1000,C154)&gt;0,"yes","")</f>
        <v/>
      </c>
    </row>
    <row r="155" customFormat="false" ht="15" hidden="false" customHeight="false" outlineLevel="0" collapsed="false">
      <c r="A155" s="6" t="s">
        <v>833</v>
      </c>
      <c r="B155" s="7" t="s">
        <v>834</v>
      </c>
      <c r="C155" s="7" t="s">
        <v>835</v>
      </c>
      <c r="D155" s="7" t="s">
        <v>45</v>
      </c>
      <c r="E155" s="7" t="s">
        <v>86</v>
      </c>
      <c r="F155" s="7" t="s">
        <v>47</v>
      </c>
      <c r="G155" s="7" t="n">
        <v>1</v>
      </c>
      <c r="H155" s="7" t="n">
        <v>12</v>
      </c>
      <c r="I155" s="7" t="n">
        <v>0</v>
      </c>
      <c r="J155" s="7" t="s">
        <v>108</v>
      </c>
      <c r="K155" s="7" t="n">
        <v>2</v>
      </c>
      <c r="L155" s="7"/>
      <c r="M155" s="7"/>
      <c r="N155" s="7"/>
      <c r="O155" s="7"/>
      <c r="P155" s="7" t="n">
        <v>0</v>
      </c>
      <c r="Q155" s="7" t="s">
        <v>245</v>
      </c>
      <c r="R155" s="7" t="s">
        <v>628</v>
      </c>
      <c r="S155" s="7" t="s">
        <v>836</v>
      </c>
      <c r="T155" s="7" t="n">
        <v>2</v>
      </c>
      <c r="U155" s="6" t="n">
        <f aca="false">ROUND(2*T155^2*IF(D155="Rare Active",6,IF(D155="Workhorse",2,1))+(K155+M155+O155)/2,0)</f>
        <v>9</v>
      </c>
      <c r="V155" s="7" t="n">
        <v>45</v>
      </c>
      <c r="W155" s="6" t="str">
        <f aca="false">IF(COUNTIF(Plants!$A$2:$A$1000,C155)&gt;0,"yes","")</f>
        <v/>
      </c>
    </row>
    <row r="156" customFormat="false" ht="15" hidden="false" customHeight="false" outlineLevel="0" collapsed="false">
      <c r="A156" s="6" t="s">
        <v>837</v>
      </c>
      <c r="B156" s="7" t="s">
        <v>838</v>
      </c>
      <c r="C156" s="7" t="s">
        <v>839</v>
      </c>
      <c r="D156" s="7" t="s">
        <v>77</v>
      </c>
      <c r="E156" s="7" t="s">
        <v>86</v>
      </c>
      <c r="F156" s="7" t="s">
        <v>47</v>
      </c>
      <c r="G156" s="7" t="n">
        <v>5</v>
      </c>
      <c r="H156" s="7" t="n">
        <v>9</v>
      </c>
      <c r="I156" s="7" t="n">
        <v>0</v>
      </c>
      <c r="J156" s="7" t="s">
        <v>57</v>
      </c>
      <c r="K156" s="7" t="n">
        <v>3</v>
      </c>
      <c r="L156" s="7" t="s">
        <v>65</v>
      </c>
      <c r="M156" s="7" t="n">
        <v>2</v>
      </c>
      <c r="N156" s="7"/>
      <c r="O156" s="7"/>
      <c r="P156" s="7" t="n">
        <v>0</v>
      </c>
      <c r="Q156" s="7" t="s">
        <v>73</v>
      </c>
      <c r="R156" s="7" t="s">
        <v>628</v>
      </c>
      <c r="S156" s="7" t="s">
        <v>840</v>
      </c>
      <c r="T156" s="7" t="n">
        <v>4</v>
      </c>
      <c r="U156" s="6" t="n">
        <f aca="false">ROUND(2*T156^2*IF(D156="Rare Active",6,IF(D156="Workhorse",2,1))+(K156+M156+O156)/2,0)</f>
        <v>67</v>
      </c>
      <c r="V156" s="7" t="n">
        <v>45</v>
      </c>
      <c r="W156" s="6" t="str">
        <f aca="false">IF(COUNTIF(Plants!$A$2:$A$1000,C156)&gt;0,"yes","")</f>
        <v/>
      </c>
    </row>
    <row r="157" customFormat="false" ht="15" hidden="false" customHeight="false" outlineLevel="0" collapsed="false">
      <c r="A157" s="6" t="s">
        <v>841</v>
      </c>
      <c r="B157" s="7" t="s">
        <v>842</v>
      </c>
      <c r="C157" s="7" t="s">
        <v>843</v>
      </c>
      <c r="D157" s="7" t="s">
        <v>77</v>
      </c>
      <c r="E157" s="7" t="s">
        <v>86</v>
      </c>
      <c r="F157" s="7" t="s">
        <v>47</v>
      </c>
      <c r="G157" s="7" t="n">
        <v>1</v>
      </c>
      <c r="H157" s="7" t="n">
        <v>12</v>
      </c>
      <c r="I157" s="7" t="n">
        <v>0</v>
      </c>
      <c r="J157" s="7" t="s">
        <v>58</v>
      </c>
      <c r="K157" s="7" t="n">
        <v>3</v>
      </c>
      <c r="L157" s="7" t="s">
        <v>108</v>
      </c>
      <c r="M157" s="7" t="n">
        <v>3</v>
      </c>
      <c r="N157" s="7"/>
      <c r="O157" s="7"/>
      <c r="P157" s="7" t="n">
        <v>0</v>
      </c>
      <c r="Q157" s="7" t="s">
        <v>73</v>
      </c>
      <c r="R157" s="7" t="s">
        <v>60</v>
      </c>
      <c r="S157" s="7" t="s">
        <v>844</v>
      </c>
      <c r="T157" s="7" t="n">
        <v>4</v>
      </c>
      <c r="U157" s="6" t="n">
        <f aca="false">ROUND(2*T157^2*IF(D157="Rare Active",6,IF(D157="Workhorse",2,1))+(K157+M157+O157)/2,0)</f>
        <v>67</v>
      </c>
      <c r="V157" s="7" t="n">
        <v>45</v>
      </c>
      <c r="W157" s="6" t="str">
        <f aca="false">IF(COUNTIF(Plants!$A$2:$A$1000,C157)&gt;0,"yes","")</f>
        <v/>
      </c>
    </row>
    <row r="158" customFormat="false" ht="15" hidden="false" customHeight="false" outlineLevel="0" collapsed="false">
      <c r="A158" s="6" t="s">
        <v>845</v>
      </c>
      <c r="B158" s="7" t="s">
        <v>846</v>
      </c>
      <c r="C158" s="7" t="s">
        <v>847</v>
      </c>
      <c r="D158" s="7" t="s">
        <v>77</v>
      </c>
      <c r="E158" s="7" t="s">
        <v>86</v>
      </c>
      <c r="F158" s="7" t="s">
        <v>47</v>
      </c>
      <c r="G158" s="7" t="n">
        <v>1</v>
      </c>
      <c r="H158" s="7" t="n">
        <v>12</v>
      </c>
      <c r="I158" s="7" t="n">
        <v>0</v>
      </c>
      <c r="J158" s="7" t="s">
        <v>66</v>
      </c>
      <c r="K158" s="7" t="n">
        <v>7</v>
      </c>
      <c r="L158" s="7" t="s">
        <v>113</v>
      </c>
      <c r="M158" s="7" t="n">
        <v>4</v>
      </c>
      <c r="N158" s="7"/>
      <c r="O158" s="7"/>
      <c r="P158" s="7" t="n">
        <v>3</v>
      </c>
      <c r="Q158" s="7" t="s">
        <v>846</v>
      </c>
      <c r="R158" s="7" t="s">
        <v>846</v>
      </c>
      <c r="S158" s="7" t="s">
        <v>848</v>
      </c>
      <c r="T158" s="7" t="n">
        <v>4</v>
      </c>
      <c r="U158" s="6" t="n">
        <f aca="false">ROUND(2*T158^2*IF(D158="Rare Active",6,IF(D158="Workhorse",2,1))+(K158+M158+O158)/2,0)</f>
        <v>70</v>
      </c>
      <c r="V158" s="7" t="n">
        <v>45</v>
      </c>
      <c r="W158" s="6" t="str">
        <f aca="false">IF(COUNTIF(Plants!$A$2:$A$1000,C158)&gt;0,"yes","")</f>
        <v/>
      </c>
    </row>
    <row r="159" customFormat="false" ht="15" hidden="false" customHeight="false" outlineLevel="0" collapsed="false">
      <c r="A159" s="6" t="s">
        <v>849</v>
      </c>
      <c r="B159" s="7" t="s">
        <v>850</v>
      </c>
      <c r="C159" s="7" t="s">
        <v>851</v>
      </c>
      <c r="D159" s="7" t="s">
        <v>77</v>
      </c>
      <c r="E159" s="7" t="s">
        <v>86</v>
      </c>
      <c r="F159" s="7" t="s">
        <v>47</v>
      </c>
      <c r="G159" s="7" t="n">
        <v>1</v>
      </c>
      <c r="H159" s="7" t="n">
        <v>12</v>
      </c>
      <c r="I159" s="7" t="n">
        <v>0</v>
      </c>
      <c r="J159" s="7" t="s">
        <v>113</v>
      </c>
      <c r="K159" s="7" t="n">
        <v>4</v>
      </c>
      <c r="L159" s="7" t="s">
        <v>108</v>
      </c>
      <c r="M159" s="7" t="n">
        <v>3</v>
      </c>
      <c r="N159" s="7"/>
      <c r="O159" s="7"/>
      <c r="P159" s="7" t="n">
        <v>0</v>
      </c>
      <c r="Q159" s="7" t="s">
        <v>152</v>
      </c>
      <c r="R159" s="7" t="s">
        <v>60</v>
      </c>
      <c r="S159" s="7" t="s">
        <v>852</v>
      </c>
      <c r="T159" s="7" t="n">
        <v>5</v>
      </c>
      <c r="U159" s="6" t="n">
        <f aca="false">ROUND(2*T159^2*IF(D159="Rare Active",6,IF(D159="Workhorse",2,1))+(K159+M159+O159)/2,0)</f>
        <v>104</v>
      </c>
      <c r="V159" s="7" t="n">
        <v>45</v>
      </c>
      <c r="W159" s="6" t="str">
        <f aca="false">IF(COUNTIF(Plants!$A$2:$A$1000,C159)&gt;0,"yes","")</f>
        <v/>
      </c>
    </row>
    <row r="160" customFormat="false" ht="15" hidden="false" customHeight="false" outlineLevel="0" collapsed="false">
      <c r="A160" s="6" t="s">
        <v>853</v>
      </c>
      <c r="B160" s="7" t="s">
        <v>854</v>
      </c>
      <c r="C160" s="7" t="s">
        <v>855</v>
      </c>
      <c r="D160" s="7" t="s">
        <v>393</v>
      </c>
      <c r="E160" s="7" t="s">
        <v>86</v>
      </c>
      <c r="F160" s="7" t="s">
        <v>56</v>
      </c>
      <c r="G160" s="7" t="n">
        <v>5</v>
      </c>
      <c r="H160" s="7" t="n">
        <v>6</v>
      </c>
      <c r="I160" s="7" t="n">
        <v>0</v>
      </c>
      <c r="J160" s="7" t="s">
        <v>856</v>
      </c>
      <c r="K160" s="7" t="n">
        <v>4</v>
      </c>
      <c r="L160" s="7" t="s">
        <v>113</v>
      </c>
      <c r="M160" s="7" t="n">
        <v>2</v>
      </c>
      <c r="N160" s="7"/>
      <c r="O160" s="7"/>
      <c r="P160" s="7" t="n">
        <v>0</v>
      </c>
      <c r="Q160" s="7" t="s">
        <v>628</v>
      </c>
      <c r="R160" s="7" t="s">
        <v>60</v>
      </c>
      <c r="S160" s="7" t="s">
        <v>857</v>
      </c>
      <c r="T160" s="7" t="n">
        <v>5</v>
      </c>
      <c r="U160" s="6" t="n">
        <f aca="false">ROUND(2*T160^2*IF(D160="Rare Active",6,IF(D160="Workhorse",2,1))+(K160+M160+O160)/2,0)</f>
        <v>303</v>
      </c>
      <c r="V160" s="7" t="n">
        <v>40</v>
      </c>
      <c r="W160" s="6" t="str">
        <f aca="false">IF(COUNTIF(Plants!$A$2:$A$1000,C160)&gt;0,"yes","")</f>
        <v/>
      </c>
    </row>
    <row r="161" customFormat="false" ht="15" hidden="false" customHeight="false" outlineLevel="0" collapsed="false">
      <c r="A161" s="6" t="s">
        <v>858</v>
      </c>
      <c r="B161" s="7" t="s">
        <v>859</v>
      </c>
      <c r="C161" s="7" t="s">
        <v>860</v>
      </c>
      <c r="D161" s="7" t="s">
        <v>393</v>
      </c>
      <c r="E161" s="7" t="s">
        <v>86</v>
      </c>
      <c r="F161" s="7" t="s">
        <v>56</v>
      </c>
      <c r="G161" s="7" t="n">
        <v>7</v>
      </c>
      <c r="H161" s="7" t="n">
        <v>9</v>
      </c>
      <c r="I161" s="7" t="n">
        <v>0</v>
      </c>
      <c r="J161" s="7" t="s">
        <v>113</v>
      </c>
      <c r="K161" s="7" t="n">
        <v>4</v>
      </c>
      <c r="L161" s="7" t="s">
        <v>856</v>
      </c>
      <c r="M161" s="7" t="n">
        <v>5</v>
      </c>
      <c r="N161" s="7"/>
      <c r="O161" s="7"/>
      <c r="P161" s="7" t="n">
        <v>1</v>
      </c>
      <c r="Q161" s="7" t="s">
        <v>861</v>
      </c>
      <c r="R161" s="7" t="s">
        <v>60</v>
      </c>
      <c r="S161" s="7" t="s">
        <v>862</v>
      </c>
      <c r="T161" s="7" t="n">
        <v>5</v>
      </c>
      <c r="U161" s="6" t="n">
        <f aca="false">ROUND(2*T161^2*IF(D161="Rare Active",6,IF(D161="Workhorse",2,1))+(K161+M161+O161)/2,0)</f>
        <v>305</v>
      </c>
      <c r="V161" s="7" t="n">
        <v>40</v>
      </c>
      <c r="W161" s="6" t="str">
        <f aca="false">IF(COUNTIF(Plants!$A$2:$A$1000,C161)&gt;0,"yes","")</f>
        <v/>
      </c>
    </row>
    <row r="162" customFormat="false" ht="15" hidden="false" customHeight="false" outlineLevel="0" collapsed="false">
      <c r="A162" s="6" t="s">
        <v>863</v>
      </c>
      <c r="B162" s="7" t="s">
        <v>864</v>
      </c>
      <c r="C162" s="7" t="s">
        <v>865</v>
      </c>
      <c r="D162" s="7" t="s">
        <v>77</v>
      </c>
      <c r="E162" s="7" t="s">
        <v>86</v>
      </c>
      <c r="F162" s="7" t="s">
        <v>866</v>
      </c>
      <c r="G162" s="7" t="n">
        <v>8</v>
      </c>
      <c r="H162" s="7" t="n">
        <v>10</v>
      </c>
      <c r="I162" s="7" t="n">
        <v>0</v>
      </c>
      <c r="J162" s="7" t="s">
        <v>48</v>
      </c>
      <c r="K162" s="7" t="n">
        <v>3</v>
      </c>
      <c r="L162" s="7" t="s">
        <v>856</v>
      </c>
      <c r="M162" s="7" t="n">
        <v>2</v>
      </c>
      <c r="N162" s="7"/>
      <c r="O162" s="7"/>
      <c r="P162" s="7" t="n">
        <v>0</v>
      </c>
      <c r="Q162" s="7" t="s">
        <v>867</v>
      </c>
      <c r="R162" s="7" t="s">
        <v>868</v>
      </c>
      <c r="S162" s="7" t="s">
        <v>869</v>
      </c>
      <c r="T162" s="7" t="n">
        <v>4</v>
      </c>
      <c r="U162" s="6" t="n">
        <f aca="false">ROUND(2*T162^2*IF(D162="Rare Active",6,IF(D162="Workhorse",2,1))+(K162+M162+O162)/2,0)</f>
        <v>67</v>
      </c>
      <c r="V162" s="7" t="n">
        <v>5</v>
      </c>
      <c r="W162" s="6" t="str">
        <f aca="false">IF(COUNTIF(Plants!$A$2:$A$1000,C162)&gt;0,"yes","")</f>
        <v/>
      </c>
    </row>
    <row r="163" customFormat="false" ht="15" hidden="false" customHeight="false" outlineLevel="0" collapsed="false">
      <c r="A163" s="6" t="s">
        <v>870</v>
      </c>
      <c r="B163" s="7" t="s">
        <v>871</v>
      </c>
      <c r="C163" s="7" t="s">
        <v>872</v>
      </c>
      <c r="D163" s="7" t="s">
        <v>45</v>
      </c>
      <c r="E163" s="7" t="s">
        <v>86</v>
      </c>
      <c r="F163" s="7" t="s">
        <v>866</v>
      </c>
      <c r="G163" s="7" t="n">
        <v>6</v>
      </c>
      <c r="H163" s="7" t="n">
        <v>10</v>
      </c>
      <c r="I163" s="7" t="n">
        <v>0</v>
      </c>
      <c r="J163" s="7" t="s">
        <v>48</v>
      </c>
      <c r="K163" s="7" t="n">
        <v>3</v>
      </c>
      <c r="L163" s="7" t="s">
        <v>114</v>
      </c>
      <c r="M163" s="7" t="n">
        <v>3</v>
      </c>
      <c r="N163" s="7"/>
      <c r="O163" s="7"/>
      <c r="P163" s="7" t="n">
        <v>1</v>
      </c>
      <c r="Q163" s="7" t="s">
        <v>873</v>
      </c>
      <c r="R163" s="7" t="s">
        <v>868</v>
      </c>
      <c r="S163" s="7" t="s">
        <v>874</v>
      </c>
      <c r="T163" s="7" t="n">
        <v>3</v>
      </c>
      <c r="U163" s="6" t="n">
        <f aca="false">ROUND(2*T163^2*IF(D163="Rare Active",6,IF(D163="Workhorse",2,1))+(K163+M163+O163)/2,0)</f>
        <v>21</v>
      </c>
      <c r="V163" s="7" t="n">
        <v>5</v>
      </c>
      <c r="W163" s="6" t="str">
        <f aca="false">IF(COUNTIF(Plants!$A$2:$A$1000,C163)&gt;0,"yes","")</f>
        <v>yes</v>
      </c>
    </row>
    <row r="164" customFormat="false" ht="15" hidden="false" customHeight="false" outlineLevel="0" collapsed="false">
      <c r="A164" s="6" t="s">
        <v>875</v>
      </c>
      <c r="B164" s="7" t="s">
        <v>876</v>
      </c>
      <c r="C164" s="7" t="s">
        <v>877</v>
      </c>
      <c r="D164" s="7" t="s">
        <v>77</v>
      </c>
      <c r="E164" s="7" t="s">
        <v>86</v>
      </c>
      <c r="F164" s="7" t="s">
        <v>866</v>
      </c>
      <c r="G164" s="7" t="n">
        <v>1</v>
      </c>
      <c r="H164" s="7" t="n">
        <v>12</v>
      </c>
      <c r="I164" s="7" t="n">
        <v>0</v>
      </c>
      <c r="J164" s="7" t="s">
        <v>48</v>
      </c>
      <c r="K164" s="7" t="n">
        <v>4</v>
      </c>
      <c r="L164" s="7" t="s">
        <v>856</v>
      </c>
      <c r="M164" s="7" t="n">
        <v>2</v>
      </c>
      <c r="N164" s="7"/>
      <c r="O164" s="7"/>
      <c r="P164" s="7" t="n">
        <v>0</v>
      </c>
      <c r="Q164" s="7" t="s">
        <v>878</v>
      </c>
      <c r="R164" s="7" t="s">
        <v>51</v>
      </c>
      <c r="S164" s="7" t="s">
        <v>879</v>
      </c>
      <c r="T164" s="7" t="n">
        <v>2</v>
      </c>
      <c r="U164" s="6" t="n">
        <f aca="false">ROUND(2*T164^2*IF(D164="Rare Active",6,IF(D164="Workhorse",2,1))+(K164+M164+O164)/2,0)</f>
        <v>19</v>
      </c>
      <c r="V164" s="7" t="n">
        <v>5</v>
      </c>
      <c r="W164" s="6" t="str">
        <f aca="false">IF(COUNTIF(Plants!$A$2:$A$1000,C164)&gt;0,"yes","")</f>
        <v>yes</v>
      </c>
    </row>
    <row r="165" customFormat="false" ht="15" hidden="false" customHeight="false" outlineLevel="0" collapsed="false">
      <c r="A165" s="6" t="s">
        <v>880</v>
      </c>
      <c r="B165" s="7" t="s">
        <v>881</v>
      </c>
      <c r="C165" s="7" t="s">
        <v>882</v>
      </c>
      <c r="D165" s="7" t="s">
        <v>77</v>
      </c>
      <c r="E165" s="7" t="s">
        <v>86</v>
      </c>
      <c r="F165" s="7" t="s">
        <v>866</v>
      </c>
      <c r="G165" s="7" t="n">
        <v>6</v>
      </c>
      <c r="H165" s="7" t="n">
        <v>9</v>
      </c>
      <c r="I165" s="7" t="n">
        <v>0</v>
      </c>
      <c r="J165" s="7" t="s">
        <v>79</v>
      </c>
      <c r="K165" s="7" t="n">
        <v>6</v>
      </c>
      <c r="L165" s="7" t="s">
        <v>856</v>
      </c>
      <c r="M165" s="7" t="n">
        <v>3</v>
      </c>
      <c r="N165" s="7" t="s">
        <v>176</v>
      </c>
      <c r="O165" s="7" t="n">
        <v>2</v>
      </c>
      <c r="P165" s="7" t="n">
        <v>0</v>
      </c>
      <c r="Q165" s="7" t="s">
        <v>81</v>
      </c>
      <c r="R165" s="7" t="s">
        <v>194</v>
      </c>
      <c r="S165" s="7" t="s">
        <v>883</v>
      </c>
      <c r="T165" s="7" t="n">
        <v>4</v>
      </c>
      <c r="U165" s="6" t="n">
        <f aca="false">ROUND(2*T165^2*IF(D165="Rare Active",6,IF(D165="Workhorse",2,1))+(K165+M165+O165)/2,0)</f>
        <v>70</v>
      </c>
      <c r="V165" s="7" t="n">
        <v>5</v>
      </c>
      <c r="W165" s="6" t="str">
        <f aca="false">IF(COUNTIF(Plants!$A$2:$A$1000,C165)&gt;0,"yes","")</f>
        <v/>
      </c>
    </row>
    <row r="166" customFormat="false" ht="15" hidden="false" customHeight="false" outlineLevel="0" collapsed="false">
      <c r="A166" s="6" t="s">
        <v>884</v>
      </c>
      <c r="B166" s="7" t="s">
        <v>885</v>
      </c>
      <c r="C166" s="7" t="s">
        <v>886</v>
      </c>
      <c r="D166" s="7" t="s">
        <v>77</v>
      </c>
      <c r="E166" s="7" t="s">
        <v>93</v>
      </c>
      <c r="F166" s="7" t="s">
        <v>866</v>
      </c>
      <c r="G166" s="7" t="n">
        <v>4</v>
      </c>
      <c r="H166" s="7" t="n">
        <v>5</v>
      </c>
      <c r="I166" s="7" t="n">
        <v>0</v>
      </c>
      <c r="J166" s="7" t="s">
        <v>48</v>
      </c>
      <c r="K166" s="7" t="n">
        <v>3</v>
      </c>
      <c r="L166" s="7" t="s">
        <v>856</v>
      </c>
      <c r="M166" s="7" t="n">
        <v>2</v>
      </c>
      <c r="N166" s="7"/>
      <c r="O166" s="7"/>
      <c r="P166" s="7" t="n">
        <v>2</v>
      </c>
      <c r="Q166" s="7" t="s">
        <v>887</v>
      </c>
      <c r="R166" s="7" t="s">
        <v>51</v>
      </c>
      <c r="S166" s="7" t="s">
        <v>888</v>
      </c>
      <c r="T166" s="7" t="n">
        <v>5</v>
      </c>
      <c r="U166" s="6" t="n">
        <f aca="false">ROUND(2*T166^2*IF(D166="Rare Active",6,IF(D166="Workhorse",2,1))+(K166+M166+O166)/2,0)</f>
        <v>103</v>
      </c>
      <c r="V166" s="7" t="n">
        <v>5</v>
      </c>
      <c r="W166" s="6" t="str">
        <f aca="false">IF(COUNTIF(Plants!$A$2:$A$1000,C166)&gt;0,"yes","")</f>
        <v/>
      </c>
    </row>
    <row r="167" customFormat="false" ht="15" hidden="false" customHeight="false" outlineLevel="0" collapsed="false">
      <c r="A167" s="6" t="s">
        <v>889</v>
      </c>
      <c r="B167" s="7" t="s">
        <v>890</v>
      </c>
      <c r="C167" s="7" t="s">
        <v>891</v>
      </c>
      <c r="D167" s="7" t="s">
        <v>45</v>
      </c>
      <c r="E167" s="7" t="s">
        <v>86</v>
      </c>
      <c r="F167" s="7" t="s">
        <v>866</v>
      </c>
      <c r="G167" s="7" t="n">
        <v>6</v>
      </c>
      <c r="H167" s="7" t="n">
        <v>9</v>
      </c>
      <c r="I167" s="7" t="n">
        <v>0</v>
      </c>
      <c r="J167" s="7" t="s">
        <v>114</v>
      </c>
      <c r="K167" s="7" t="n">
        <v>2</v>
      </c>
      <c r="L167" s="7" t="s">
        <v>48</v>
      </c>
      <c r="M167" s="7" t="n">
        <v>2</v>
      </c>
      <c r="N167" s="7"/>
      <c r="O167" s="7"/>
      <c r="P167" s="7" t="n">
        <v>0</v>
      </c>
      <c r="Q167" s="7" t="s">
        <v>810</v>
      </c>
      <c r="R167" s="7" t="s">
        <v>892</v>
      </c>
      <c r="S167" s="7" t="s">
        <v>893</v>
      </c>
      <c r="T167" s="7" t="n">
        <v>4</v>
      </c>
      <c r="U167" s="6" t="n">
        <f aca="false">ROUND(2*T167^2*IF(D167="Rare Active",6,IF(D167="Workhorse",2,1))+(K167+M167+O167)/2,0)</f>
        <v>34</v>
      </c>
      <c r="V167" s="7" t="n">
        <v>5</v>
      </c>
      <c r="W167" s="6" t="str">
        <f aca="false">IF(COUNTIF(Plants!$A$2:$A$1000,C167)&gt;0,"yes","")</f>
        <v/>
      </c>
    </row>
    <row r="168" customFormat="false" ht="15" hidden="false" customHeight="false" outlineLevel="0" collapsed="false">
      <c r="A168" s="6" t="s">
        <v>894</v>
      </c>
      <c r="B168" s="7" t="s">
        <v>895</v>
      </c>
      <c r="C168" s="7" t="s">
        <v>896</v>
      </c>
      <c r="D168" s="7" t="s">
        <v>45</v>
      </c>
      <c r="E168" s="7" t="s">
        <v>107</v>
      </c>
      <c r="F168" s="7" t="s">
        <v>866</v>
      </c>
      <c r="G168" s="7" t="n">
        <v>8</v>
      </c>
      <c r="H168" s="7" t="n">
        <v>10</v>
      </c>
      <c r="I168" s="7" t="n">
        <v>0</v>
      </c>
      <c r="J168" s="7" t="s">
        <v>48</v>
      </c>
      <c r="K168" s="7" t="n">
        <v>2</v>
      </c>
      <c r="L168" s="7"/>
      <c r="M168" s="7"/>
      <c r="N168" s="7"/>
      <c r="O168" s="7"/>
      <c r="P168" s="7" t="n">
        <v>0</v>
      </c>
      <c r="Q168" s="7" t="s">
        <v>245</v>
      </c>
      <c r="R168" s="7" t="s">
        <v>868</v>
      </c>
      <c r="S168" s="7" t="s">
        <v>897</v>
      </c>
      <c r="T168" s="7" t="n">
        <v>2</v>
      </c>
      <c r="U168" s="6" t="n">
        <f aca="false">ROUND(2*T168^2*IF(D168="Rare Active",6,IF(D168="Workhorse",2,1))+(K168+M168+O168)/2,0)</f>
        <v>9</v>
      </c>
      <c r="V168" s="7" t="n">
        <v>5</v>
      </c>
      <c r="W168" s="6" t="str">
        <f aca="false">IF(COUNTIF(Plants!$A$2:$A$1000,C168)&gt;0,"yes","")</f>
        <v>yes</v>
      </c>
    </row>
    <row r="169" customFormat="false" ht="15" hidden="false" customHeight="false" outlineLevel="0" collapsed="false">
      <c r="A169" s="6" t="s">
        <v>898</v>
      </c>
      <c r="B169" s="7" t="s">
        <v>899</v>
      </c>
      <c r="C169" s="7" t="s">
        <v>900</v>
      </c>
      <c r="D169" s="7" t="s">
        <v>45</v>
      </c>
      <c r="E169" s="7" t="s">
        <v>86</v>
      </c>
      <c r="F169" s="7" t="s">
        <v>866</v>
      </c>
      <c r="G169" s="7" t="n">
        <v>8</v>
      </c>
      <c r="H169" s="7" t="n">
        <v>10</v>
      </c>
      <c r="I169" s="7" t="n">
        <v>0</v>
      </c>
      <c r="J169" s="7" t="s">
        <v>856</v>
      </c>
      <c r="K169" s="7" t="n">
        <v>3</v>
      </c>
      <c r="L169" s="7"/>
      <c r="M169" s="7"/>
      <c r="N169" s="7"/>
      <c r="O169" s="7"/>
      <c r="P169" s="7" t="n">
        <v>8</v>
      </c>
      <c r="Q169" s="7" t="s">
        <v>327</v>
      </c>
      <c r="R169" s="7" t="s">
        <v>60</v>
      </c>
      <c r="S169" s="7" t="s">
        <v>901</v>
      </c>
      <c r="T169" s="7" t="n">
        <v>3</v>
      </c>
      <c r="U169" s="6" t="n">
        <f aca="false">ROUND(2*T169^2*IF(D169="Rare Active",6,IF(D169="Workhorse",2,1))+(K169+M169+O169)/2,0)</f>
        <v>20</v>
      </c>
      <c r="V169" s="7" t="n">
        <v>5</v>
      </c>
      <c r="W169" s="6" t="str">
        <f aca="false">IF(COUNTIF(Plants!$A$2:$A$1000,C169)&gt;0,"yes","")</f>
        <v/>
      </c>
    </row>
    <row r="170" customFormat="false" ht="15" hidden="false" customHeight="false" outlineLevel="0" collapsed="false">
      <c r="A170" s="6" t="s">
        <v>902</v>
      </c>
      <c r="B170" s="7" t="s">
        <v>903</v>
      </c>
      <c r="C170" s="7" t="s">
        <v>904</v>
      </c>
      <c r="D170" s="7" t="s">
        <v>77</v>
      </c>
      <c r="E170" s="7" t="s">
        <v>86</v>
      </c>
      <c r="F170" s="7" t="s">
        <v>866</v>
      </c>
      <c r="G170" s="7" t="n">
        <v>7</v>
      </c>
      <c r="H170" s="7" t="n">
        <v>9</v>
      </c>
      <c r="I170" s="7" t="n">
        <v>0</v>
      </c>
      <c r="J170" s="7" t="s">
        <v>289</v>
      </c>
      <c r="K170" s="7" t="n">
        <v>10</v>
      </c>
      <c r="L170" s="7"/>
      <c r="M170" s="7"/>
      <c r="N170" s="7"/>
      <c r="O170" s="7"/>
      <c r="P170" s="7" t="n">
        <v>10</v>
      </c>
      <c r="Q170" s="7" t="s">
        <v>327</v>
      </c>
      <c r="R170" s="7" t="s">
        <v>60</v>
      </c>
      <c r="S170" s="7" t="s">
        <v>905</v>
      </c>
      <c r="T170" s="7" t="n">
        <v>5</v>
      </c>
      <c r="U170" s="6" t="n">
        <f aca="false">ROUND(2*T170^2*IF(D170="Rare Active",6,IF(D170="Workhorse",2,1))+(K170+M170+O170)/2,0)</f>
        <v>105</v>
      </c>
      <c r="V170" s="7" t="n">
        <v>5</v>
      </c>
      <c r="W170" s="6" t="str">
        <f aca="false">IF(COUNTIF(Plants!$A$2:$A$1000,C170)&gt;0,"yes","")</f>
        <v/>
      </c>
    </row>
    <row r="171" customFormat="false" ht="15" hidden="false" customHeight="false" outlineLevel="0" collapsed="false">
      <c r="A171" s="6" t="s">
        <v>906</v>
      </c>
      <c r="B171" s="7" t="s">
        <v>907</v>
      </c>
      <c r="C171" s="7" t="s">
        <v>908</v>
      </c>
      <c r="D171" s="7" t="s">
        <v>393</v>
      </c>
      <c r="E171" s="7" t="s">
        <v>909</v>
      </c>
      <c r="F171" s="7" t="s">
        <v>56</v>
      </c>
      <c r="G171" s="7" t="n">
        <v>1</v>
      </c>
      <c r="H171" s="7" t="n">
        <v>12</v>
      </c>
      <c r="I171" s="7" t="n">
        <v>0</v>
      </c>
      <c r="J171" s="7" t="s">
        <v>856</v>
      </c>
      <c r="K171" s="7" t="n">
        <v>6</v>
      </c>
      <c r="L171" s="7" t="s">
        <v>65</v>
      </c>
      <c r="M171" s="7" t="n">
        <v>3</v>
      </c>
      <c r="N171" s="7"/>
      <c r="O171" s="7"/>
      <c r="P171" s="7" t="n">
        <v>0</v>
      </c>
      <c r="Q171" s="7" t="s">
        <v>910</v>
      </c>
      <c r="R171" s="7" t="s">
        <v>911</v>
      </c>
      <c r="S171" s="7" t="s">
        <v>912</v>
      </c>
      <c r="T171" s="7" t="n">
        <v>5</v>
      </c>
      <c r="U171" s="6" t="n">
        <f aca="false">ROUND(2*T171^2*IF(D171="Rare Active",6,IF(D171="Workhorse",2,1))+(K171+M171+O171)/2,0)</f>
        <v>305</v>
      </c>
      <c r="V171" s="7" t="n">
        <v>40</v>
      </c>
      <c r="W171" s="6" t="str">
        <f aca="false">IF(COUNTIF(Plants!$A$2:$A$1000,C171)&gt;0,"yes","")</f>
        <v/>
      </c>
    </row>
    <row r="172" customFormat="false" ht="15" hidden="false" customHeight="false" outlineLevel="0" collapsed="false">
      <c r="A172" s="6" t="s">
        <v>913</v>
      </c>
      <c r="B172" s="7" t="s">
        <v>914</v>
      </c>
      <c r="C172" s="7" t="s">
        <v>915</v>
      </c>
      <c r="D172" s="7" t="s">
        <v>393</v>
      </c>
      <c r="E172" s="7" t="s">
        <v>909</v>
      </c>
      <c r="F172" s="7" t="s">
        <v>916</v>
      </c>
      <c r="G172" s="7" t="n">
        <v>10</v>
      </c>
      <c r="H172" s="7" t="n">
        <v>11</v>
      </c>
      <c r="I172" s="7" t="n">
        <v>0</v>
      </c>
      <c r="J172" s="7" t="s">
        <v>917</v>
      </c>
      <c r="K172" s="7" t="n">
        <v>8</v>
      </c>
      <c r="L172" s="7"/>
      <c r="M172" s="7"/>
      <c r="N172" s="7"/>
      <c r="O172" s="7"/>
      <c r="P172" s="7" t="n">
        <v>3</v>
      </c>
      <c r="Q172" s="7" t="s">
        <v>918</v>
      </c>
      <c r="R172" s="7" t="s">
        <v>919</v>
      </c>
      <c r="S172" s="7" t="s">
        <v>920</v>
      </c>
      <c r="T172" s="7" t="n">
        <v>5</v>
      </c>
      <c r="U172" s="6" t="n">
        <f aca="false">ROUND(2*T172^2*IF(D172="Rare Active",6,IF(D172="Workhorse",2,1))+(K172+M172+O172)/2,0)</f>
        <v>304</v>
      </c>
      <c r="V172" s="7" t="n">
        <v>2</v>
      </c>
      <c r="W172" s="6" t="str">
        <f aca="false">IF(COUNTIF(Plants!$A$2:$A$1000,C172)&gt;0,"yes","")</f>
        <v/>
      </c>
    </row>
    <row r="173" customFormat="false" ht="15" hidden="false" customHeight="false" outlineLevel="0" collapsed="false">
      <c r="A173" s="6" t="s">
        <v>921</v>
      </c>
      <c r="B173" s="7" t="s">
        <v>922</v>
      </c>
      <c r="C173" s="7" t="s">
        <v>923</v>
      </c>
      <c r="D173" s="7" t="s">
        <v>393</v>
      </c>
      <c r="E173" s="7" t="s">
        <v>909</v>
      </c>
      <c r="F173" s="7" t="s">
        <v>120</v>
      </c>
      <c r="G173" s="7" t="n">
        <v>5</v>
      </c>
      <c r="H173" s="7" t="n">
        <v>6</v>
      </c>
      <c r="I173" s="7" t="n">
        <v>6</v>
      </c>
      <c r="J173" s="7" t="s">
        <v>856</v>
      </c>
      <c r="K173" s="7" t="n">
        <v>5</v>
      </c>
      <c r="L173" s="7" t="s">
        <v>66</v>
      </c>
      <c r="M173" s="7" t="n">
        <v>4</v>
      </c>
      <c r="N173" s="7"/>
      <c r="O173" s="7"/>
      <c r="P173" s="7" t="n">
        <v>0</v>
      </c>
      <c r="Q173" s="7" t="s">
        <v>924</v>
      </c>
      <c r="R173" s="7" t="s">
        <v>60</v>
      </c>
      <c r="S173" s="7" t="s">
        <v>925</v>
      </c>
      <c r="T173" s="7" t="n">
        <v>5</v>
      </c>
      <c r="U173" s="6" t="n">
        <f aca="false">ROUND(2*T173^2*IF(D173="Rare Active",6,IF(D173="Workhorse",2,1))+(K173+M173+O173)/2,0)</f>
        <v>305</v>
      </c>
      <c r="V173" s="7" t="n">
        <v>30</v>
      </c>
      <c r="W173" s="6" t="str">
        <f aca="false">IF(COUNTIF(Plants!$A$2:$A$1000,C173)&gt;0,"yes","")</f>
        <v/>
      </c>
    </row>
    <row r="174" customFormat="false" ht="15" hidden="false" customHeight="false" outlineLevel="0" collapsed="false">
      <c r="A174" s="6" t="s">
        <v>926</v>
      </c>
      <c r="B174" s="7" t="s">
        <v>927</v>
      </c>
      <c r="C174" s="7" t="s">
        <v>928</v>
      </c>
      <c r="D174" s="7" t="s">
        <v>393</v>
      </c>
      <c r="E174" s="7" t="s">
        <v>909</v>
      </c>
      <c r="F174" s="7" t="s">
        <v>204</v>
      </c>
      <c r="G174" s="7" t="n">
        <v>3</v>
      </c>
      <c r="H174" s="7" t="n">
        <v>4</v>
      </c>
      <c r="I174" s="7" t="n">
        <v>0</v>
      </c>
      <c r="J174" s="7" t="s">
        <v>917</v>
      </c>
      <c r="K174" s="7" t="n">
        <v>6</v>
      </c>
      <c r="L174" s="7" t="s">
        <v>57</v>
      </c>
      <c r="M174" s="7" t="n">
        <v>4</v>
      </c>
      <c r="N174" s="7"/>
      <c r="O174" s="7"/>
      <c r="P174" s="7" t="n">
        <v>1</v>
      </c>
      <c r="Q174" s="7" t="s">
        <v>929</v>
      </c>
      <c r="R174" s="7" t="s">
        <v>204</v>
      </c>
      <c r="S174" s="7" t="s">
        <v>930</v>
      </c>
      <c r="T174" s="7" t="n">
        <v>5</v>
      </c>
      <c r="U174" s="6" t="n">
        <f aca="false">ROUND(2*T174^2*IF(D174="Rare Active",6,IF(D174="Workhorse",2,1))+(K174+M174+O174)/2,0)</f>
        <v>305</v>
      </c>
      <c r="V174" s="7" t="n">
        <v>7</v>
      </c>
      <c r="W174" s="6" t="str">
        <f aca="false">IF(COUNTIF(Plants!$A$2:$A$1000,C174)&gt;0,"yes","")</f>
        <v/>
      </c>
    </row>
    <row r="175" customFormat="false" ht="15" hidden="false" customHeight="false" outlineLevel="0" collapsed="false">
      <c r="A175" s="6" t="s">
        <v>931</v>
      </c>
      <c r="B175" s="7" t="s">
        <v>932</v>
      </c>
      <c r="C175" s="7" t="s">
        <v>933</v>
      </c>
      <c r="D175" s="7" t="s">
        <v>393</v>
      </c>
      <c r="E175" s="7" t="s">
        <v>909</v>
      </c>
      <c r="F175" s="7" t="s">
        <v>866</v>
      </c>
      <c r="G175" s="7" t="n">
        <v>9</v>
      </c>
      <c r="H175" s="7" t="n">
        <v>10</v>
      </c>
      <c r="I175" s="7" t="n">
        <v>0</v>
      </c>
      <c r="J175" s="7" t="s">
        <v>856</v>
      </c>
      <c r="K175" s="7" t="n">
        <v>7</v>
      </c>
      <c r="L175" s="7" t="s">
        <v>289</v>
      </c>
      <c r="M175" s="7" t="n">
        <v>3</v>
      </c>
      <c r="N175" s="7"/>
      <c r="O175" s="7"/>
      <c r="P175" s="7" t="n">
        <v>4</v>
      </c>
      <c r="Q175" s="7" t="s">
        <v>934</v>
      </c>
      <c r="R175" s="7" t="s">
        <v>51</v>
      </c>
      <c r="S175" s="7" t="s">
        <v>935</v>
      </c>
      <c r="T175" s="7" t="n">
        <v>5</v>
      </c>
      <c r="U175" s="6" t="n">
        <f aca="false">ROUND(2*T175^2*IF(D175="Rare Active",6,IF(D175="Workhorse",2,1))+(K175+M175+O175)/2,0)</f>
        <v>305</v>
      </c>
      <c r="V175" s="7" t="n">
        <v>5</v>
      </c>
      <c r="W175" s="6" t="str">
        <f aca="false">IF(COUNTIF(Plants!$A$2:$A$1000,C175)&gt;0,"yes","")</f>
        <v/>
      </c>
    </row>
    <row r="176" customFormat="false" ht="15" hidden="false" customHeight="false" outlineLevel="0" collapsed="false">
      <c r="A176" s="6" t="s">
        <v>936</v>
      </c>
      <c r="B176" s="7" t="s">
        <v>937</v>
      </c>
      <c r="C176" s="7" t="s">
        <v>938</v>
      </c>
      <c r="D176" s="7" t="s">
        <v>393</v>
      </c>
      <c r="E176" s="7" t="s">
        <v>601</v>
      </c>
      <c r="F176" s="7" t="s">
        <v>56</v>
      </c>
      <c r="G176" s="7" t="n">
        <v>1</v>
      </c>
      <c r="H176" s="7" t="n">
        <v>12</v>
      </c>
      <c r="I176" s="7" t="n">
        <v>0</v>
      </c>
      <c r="J176" s="7" t="s">
        <v>917</v>
      </c>
      <c r="K176" s="7" t="n">
        <v>5</v>
      </c>
      <c r="L176" s="7" t="s">
        <v>114</v>
      </c>
      <c r="M176" s="7" t="n">
        <v>3</v>
      </c>
      <c r="N176" s="7"/>
      <c r="O176" s="7"/>
      <c r="P176" s="7" t="n">
        <v>0</v>
      </c>
      <c r="Q176" s="7" t="s">
        <v>939</v>
      </c>
      <c r="R176" s="7" t="s">
        <v>940</v>
      </c>
      <c r="S176" s="7" t="s">
        <v>941</v>
      </c>
      <c r="T176" s="7" t="n">
        <v>5</v>
      </c>
      <c r="U176" s="6" t="n">
        <f aca="false">ROUND(2*T176^2*IF(D176="Rare Active",6,IF(D176="Workhorse",2,1))+(K176+M176+O176)/2,0)</f>
        <v>304</v>
      </c>
      <c r="V176" s="7" t="n">
        <v>40</v>
      </c>
      <c r="W176" s="6" t="str">
        <f aca="false">IF(COUNTIF(Plants!$A$2:$A$1000,C176)&gt;0,"yes","")</f>
        <v/>
      </c>
    </row>
    <row r="177" customFormat="false" ht="15" hidden="false" customHeight="false" outlineLevel="0" collapsed="false">
      <c r="A177" s="6" t="s">
        <v>942</v>
      </c>
      <c r="B177" s="7" t="s">
        <v>943</v>
      </c>
      <c r="C177" s="7" t="s">
        <v>944</v>
      </c>
      <c r="D177" s="7" t="s">
        <v>393</v>
      </c>
      <c r="E177" s="7" t="s">
        <v>107</v>
      </c>
      <c r="F177" s="7" t="s">
        <v>120</v>
      </c>
      <c r="G177" s="7" t="n">
        <v>10</v>
      </c>
      <c r="H177" s="7" t="n">
        <v>10</v>
      </c>
      <c r="I177" s="7" t="n">
        <v>0</v>
      </c>
      <c r="J177" s="7" t="s">
        <v>856</v>
      </c>
      <c r="K177" s="7" t="n">
        <v>4</v>
      </c>
      <c r="L177" s="7" t="s">
        <v>65</v>
      </c>
      <c r="M177" s="7" t="n">
        <v>4</v>
      </c>
      <c r="N177" s="7"/>
      <c r="O177" s="7"/>
      <c r="P177" s="7" t="n">
        <v>0</v>
      </c>
      <c r="Q177" s="7" t="s">
        <v>945</v>
      </c>
      <c r="R177" s="7" t="s">
        <v>946</v>
      </c>
      <c r="S177" s="7" t="s">
        <v>947</v>
      </c>
      <c r="T177" s="7" t="n">
        <v>4</v>
      </c>
      <c r="U177" s="6" t="n">
        <f aca="false">ROUND(2*T177^2*IF(D177="Rare Active",6,IF(D177="Workhorse",2,1))+(K177+M177+O177)/2,0)</f>
        <v>196</v>
      </c>
      <c r="V177" s="7" t="n">
        <v>30</v>
      </c>
      <c r="W177" s="6" t="str">
        <f aca="false">IF(COUNTIF(Plants!$A$2:$A$1000,C177)&gt;0,"yes","")</f>
        <v/>
      </c>
    </row>
    <row r="178" customFormat="false" ht="15" hidden="false" customHeight="false" outlineLevel="0" collapsed="false">
      <c r="A178" s="6" t="s">
        <v>948</v>
      </c>
      <c r="B178" s="7" t="s">
        <v>949</v>
      </c>
      <c r="C178" s="7" t="s">
        <v>950</v>
      </c>
      <c r="D178" s="7" t="s">
        <v>393</v>
      </c>
      <c r="E178" s="7" t="s">
        <v>93</v>
      </c>
      <c r="F178" s="7" t="s">
        <v>78</v>
      </c>
      <c r="G178" s="7" t="n">
        <v>11</v>
      </c>
      <c r="H178" s="7" t="n">
        <v>2</v>
      </c>
      <c r="I178" s="7" t="n">
        <v>0</v>
      </c>
      <c r="J178" s="7" t="s">
        <v>917</v>
      </c>
      <c r="K178" s="7" t="n">
        <v>7</v>
      </c>
      <c r="L178" s="7" t="s">
        <v>58</v>
      </c>
      <c r="M178" s="7" t="n">
        <v>4</v>
      </c>
      <c r="N178" s="7"/>
      <c r="O178" s="7"/>
      <c r="P178" s="7" t="n">
        <v>6</v>
      </c>
      <c r="Q178" s="7" t="s">
        <v>951</v>
      </c>
      <c r="R178" s="7" t="s">
        <v>952</v>
      </c>
      <c r="S178" s="7" t="s">
        <v>953</v>
      </c>
      <c r="T178" s="7" t="n">
        <v>5</v>
      </c>
      <c r="U178" s="6" t="n">
        <f aca="false">ROUND(2*T178^2*IF(D178="Rare Active",6,IF(D178="Workhorse",2,1))+(K178+M178+O178)/2,0)</f>
        <v>306</v>
      </c>
      <c r="V178" s="7" t="n">
        <v>120</v>
      </c>
      <c r="W178" s="6" t="str">
        <f aca="false">IF(COUNTIF(Plants!$A$2:$A$1000,C178)&gt;0,"yes","")</f>
        <v/>
      </c>
    </row>
    <row r="179" customFormat="false" ht="15" hidden="false" customHeight="false" outlineLevel="0" collapsed="false">
      <c r="A179" s="6" t="s">
        <v>954</v>
      </c>
      <c r="B179" s="7" t="s">
        <v>955</v>
      </c>
      <c r="C179" s="7" t="s">
        <v>956</v>
      </c>
      <c r="D179" s="7" t="s">
        <v>393</v>
      </c>
      <c r="E179" s="7" t="s">
        <v>107</v>
      </c>
      <c r="F179" s="7" t="s">
        <v>175</v>
      </c>
      <c r="G179" s="7" t="n">
        <v>8</v>
      </c>
      <c r="H179" s="7" t="n">
        <v>8</v>
      </c>
      <c r="I179" s="7" t="n">
        <v>0</v>
      </c>
      <c r="J179" s="7" t="s">
        <v>856</v>
      </c>
      <c r="K179" s="7" t="n">
        <v>5</v>
      </c>
      <c r="L179" s="7" t="s">
        <v>48</v>
      </c>
      <c r="M179" s="7" t="n">
        <v>2</v>
      </c>
      <c r="N179" s="7"/>
      <c r="O179" s="7"/>
      <c r="P179" s="7" t="n">
        <v>0</v>
      </c>
      <c r="Q179" s="7" t="s">
        <v>245</v>
      </c>
      <c r="R179" s="7" t="s">
        <v>102</v>
      </c>
      <c r="S179" s="7" t="s">
        <v>957</v>
      </c>
      <c r="T179" s="7" t="n">
        <v>4</v>
      </c>
      <c r="U179" s="6" t="n">
        <f aca="false">ROUND(2*T179^2*IF(D179="Rare Active",6,IF(D179="Workhorse",2,1))+(K179+M179+O179)/2,0)</f>
        <v>196</v>
      </c>
      <c r="V179" s="7" t="n">
        <v>300</v>
      </c>
      <c r="W179" s="6" t="str">
        <f aca="false">IF(COUNTIF(Plants!$A$2:$A$1000,C179)&gt;0,"yes","")</f>
        <v/>
      </c>
    </row>
    <row r="180" customFormat="false" ht="15" hidden="false" customHeight="false" outlineLevel="0" collapsed="false">
      <c r="A180" s="6" t="s">
        <v>958</v>
      </c>
      <c r="B180" s="7" t="s">
        <v>959</v>
      </c>
      <c r="C180" s="7" t="s">
        <v>960</v>
      </c>
      <c r="D180" s="7" t="s">
        <v>77</v>
      </c>
      <c r="E180" s="7" t="s">
        <v>46</v>
      </c>
      <c r="F180" s="7" t="s">
        <v>47</v>
      </c>
      <c r="G180" s="7" t="n">
        <v>4</v>
      </c>
      <c r="H180" s="7" t="n">
        <v>10</v>
      </c>
      <c r="I180" s="7" t="n">
        <v>8</v>
      </c>
      <c r="J180" s="7" t="s">
        <v>57</v>
      </c>
      <c r="K180" s="7" t="n">
        <v>4</v>
      </c>
      <c r="L180" s="7" t="s">
        <v>108</v>
      </c>
      <c r="M180" s="7" t="n">
        <v>3</v>
      </c>
      <c r="N180" s="7" t="s">
        <v>113</v>
      </c>
      <c r="O180" s="7" t="n">
        <v>2</v>
      </c>
      <c r="P180" s="7" t="n">
        <v>0</v>
      </c>
      <c r="Q180" s="7" t="s">
        <v>961</v>
      </c>
      <c r="R180" s="7" t="s">
        <v>95</v>
      </c>
      <c r="S180" s="7" t="s">
        <v>962</v>
      </c>
      <c r="T180" s="7" t="n">
        <v>1</v>
      </c>
      <c r="U180" s="6" t="n">
        <f aca="false">ROUND(2*T180^2*IF(D180="Rare Active",6,IF(D180="Workhorse",2,1))+(K180+M180+O180)/2,0)</f>
        <v>9</v>
      </c>
      <c r="V180" s="7" t="n">
        <v>45</v>
      </c>
      <c r="W180" s="6" t="str">
        <f aca="false">IF(COUNTIF(Plants!$A$2:$A$1000,C180)&gt;0,"yes","")</f>
        <v>yes</v>
      </c>
    </row>
    <row r="181" customFormat="false" ht="15" hidden="false" customHeight="false" outlineLevel="0" collapsed="false">
      <c r="A181" s="6" t="s">
        <v>963</v>
      </c>
      <c r="B181" s="7" t="s">
        <v>964</v>
      </c>
      <c r="C181" s="7" t="s">
        <v>965</v>
      </c>
      <c r="D181" s="7" t="s">
        <v>45</v>
      </c>
      <c r="E181" s="7" t="s">
        <v>46</v>
      </c>
      <c r="F181" s="7" t="s">
        <v>56</v>
      </c>
      <c r="G181" s="7" t="n">
        <v>4</v>
      </c>
      <c r="H181" s="7" t="n">
        <v>10</v>
      </c>
      <c r="I181" s="7" t="n">
        <v>6</v>
      </c>
      <c r="J181" s="7" t="s">
        <v>48</v>
      </c>
      <c r="K181" s="7" t="n">
        <v>2</v>
      </c>
      <c r="L181" s="7"/>
      <c r="M181" s="7"/>
      <c r="N181" s="7"/>
      <c r="O181" s="7"/>
      <c r="P181" s="7" t="n">
        <v>0</v>
      </c>
      <c r="Q181" s="7" t="s">
        <v>67</v>
      </c>
      <c r="R181" s="7" t="s">
        <v>966</v>
      </c>
      <c r="S181" s="7" t="s">
        <v>967</v>
      </c>
      <c r="T181" s="7" t="n">
        <v>1</v>
      </c>
      <c r="U181" s="6" t="n">
        <f aca="false">ROUND(2*T181^2*IF(D181="Rare Active",6,IF(D181="Workhorse",2,1))+(K181+M181+O181)/2,0)</f>
        <v>3</v>
      </c>
      <c r="V181" s="7" t="n">
        <v>40</v>
      </c>
      <c r="W181" s="6" t="str">
        <f aca="false">IF(COUNTIF(Plants!$A$2:$A$1000,C181)&gt;0,"yes","")</f>
        <v>yes</v>
      </c>
    </row>
    <row r="182" customFormat="false" ht="15" hidden="false" customHeight="false" outlineLevel="0" collapsed="false">
      <c r="A182" s="6" t="s">
        <v>968</v>
      </c>
      <c r="B182" s="7" t="s">
        <v>969</v>
      </c>
      <c r="C182" s="7" t="s">
        <v>970</v>
      </c>
      <c r="D182" s="7" t="s">
        <v>45</v>
      </c>
      <c r="E182" s="7" t="s">
        <v>46</v>
      </c>
      <c r="F182" s="7" t="s">
        <v>175</v>
      </c>
      <c r="G182" s="7" t="n">
        <v>8</v>
      </c>
      <c r="H182" s="7" t="n">
        <v>10</v>
      </c>
      <c r="I182" s="7" t="n">
        <v>9</v>
      </c>
      <c r="J182" s="7" t="s">
        <v>48</v>
      </c>
      <c r="K182" s="7" t="n">
        <v>3</v>
      </c>
      <c r="L182" s="7"/>
      <c r="M182" s="7"/>
      <c r="N182" s="7"/>
      <c r="O182" s="7"/>
      <c r="P182" s="7" t="n">
        <v>0</v>
      </c>
      <c r="Q182" s="7" t="s">
        <v>821</v>
      </c>
      <c r="R182" s="7" t="s">
        <v>96</v>
      </c>
      <c r="S182" s="7" t="s">
        <v>649</v>
      </c>
      <c r="T182" s="7" t="n">
        <v>1</v>
      </c>
      <c r="U182" s="6" t="n">
        <f aca="false">ROUND(2*T182^2*IF(D182="Rare Active",6,IF(D182="Workhorse",2,1))+(K182+M182+O182)/2,0)</f>
        <v>4</v>
      </c>
      <c r="V182" s="7" t="n">
        <v>300</v>
      </c>
      <c r="W182" s="6" t="str">
        <f aca="false">IF(COUNTIF(Plants!$A$2:$A$1000,C182)&gt;0,"yes","")</f>
        <v>yes</v>
      </c>
    </row>
    <row r="183" customFormat="false" ht="15" hidden="false" customHeight="false" outlineLevel="0" collapsed="false">
      <c r="A183" s="6" t="s">
        <v>971</v>
      </c>
      <c r="B183" s="7" t="s">
        <v>972</v>
      </c>
      <c r="C183" s="7" t="s">
        <v>973</v>
      </c>
      <c r="D183" s="7" t="s">
        <v>45</v>
      </c>
      <c r="E183" s="7" t="s">
        <v>107</v>
      </c>
      <c r="F183" s="7" t="s">
        <v>56</v>
      </c>
      <c r="G183" s="7" t="n">
        <v>10</v>
      </c>
      <c r="H183" s="7" t="n">
        <v>3</v>
      </c>
      <c r="I183" s="7" t="n">
        <v>10</v>
      </c>
      <c r="J183" s="7" t="s">
        <v>48</v>
      </c>
      <c r="K183" s="7" t="n">
        <v>1</v>
      </c>
      <c r="L183" s="7" t="s">
        <v>108</v>
      </c>
      <c r="M183" s="7" t="n">
        <v>1</v>
      </c>
      <c r="N183" s="7"/>
      <c r="O183" s="7"/>
      <c r="P183" s="7" t="n">
        <v>0</v>
      </c>
      <c r="Q183" s="7" t="s">
        <v>974</v>
      </c>
      <c r="R183" s="7" t="s">
        <v>96</v>
      </c>
      <c r="S183" s="7" t="s">
        <v>975</v>
      </c>
      <c r="T183" s="7" t="n">
        <v>1</v>
      </c>
      <c r="U183" s="6" t="n">
        <f aca="false">ROUND(2*T183^2*IF(D183="Rare Active",6,IF(D183="Workhorse",2,1))+(K183+M183+O183)/2,0)</f>
        <v>3</v>
      </c>
      <c r="V183" s="7" t="n">
        <v>40</v>
      </c>
      <c r="W183" s="6" t="str">
        <f aca="false">IF(COUNTIF(Plants!$A$2:$A$1000,C183)&gt;0,"yes","")</f>
        <v>yes</v>
      </c>
    </row>
    <row r="184" customFormat="false" ht="15" hidden="false" customHeight="false" outlineLevel="0" collapsed="false">
      <c r="A184" s="6" t="s">
        <v>976</v>
      </c>
      <c r="B184" s="7" t="s">
        <v>977</v>
      </c>
      <c r="C184" s="7" t="s">
        <v>978</v>
      </c>
      <c r="D184" s="7" t="s">
        <v>45</v>
      </c>
      <c r="E184" s="7" t="s">
        <v>107</v>
      </c>
      <c r="F184" s="7" t="s">
        <v>56</v>
      </c>
      <c r="G184" s="7" t="n">
        <v>4</v>
      </c>
      <c r="H184" s="7" t="n">
        <v>11</v>
      </c>
      <c r="I184" s="7" t="n">
        <v>6</v>
      </c>
      <c r="J184" s="7" t="s">
        <v>289</v>
      </c>
      <c r="K184" s="7" t="n">
        <v>1</v>
      </c>
      <c r="L184" s="7" t="s">
        <v>48</v>
      </c>
      <c r="M184" s="7" t="n">
        <v>2</v>
      </c>
      <c r="N184" s="7"/>
      <c r="O184" s="7"/>
      <c r="P184" s="7" t="n">
        <v>1</v>
      </c>
      <c r="Q184" s="7" t="s">
        <v>979</v>
      </c>
      <c r="R184" s="7" t="s">
        <v>96</v>
      </c>
      <c r="S184" s="7" t="s">
        <v>980</v>
      </c>
      <c r="T184" s="7" t="n">
        <v>1</v>
      </c>
      <c r="U184" s="6" t="n">
        <f aca="false">ROUND(2*T184^2*IF(D184="Rare Active",6,IF(D184="Workhorse",2,1))+(K184+M184+O184)/2,0)</f>
        <v>4</v>
      </c>
      <c r="V184" s="7" t="n">
        <v>40</v>
      </c>
      <c r="W184" s="6" t="str">
        <f aca="false">IF(COUNTIF(Plants!$A$2:$A$1000,C184)&gt;0,"yes","")</f>
        <v>yes</v>
      </c>
    </row>
    <row r="185" customFormat="false" ht="15" hidden="false" customHeight="false" outlineLevel="0" collapsed="false">
      <c r="A185" s="6" t="s">
        <v>981</v>
      </c>
      <c r="B185" s="7" t="s">
        <v>982</v>
      </c>
      <c r="C185" s="7" t="s">
        <v>983</v>
      </c>
      <c r="D185" s="7" t="s">
        <v>45</v>
      </c>
      <c r="E185" s="7" t="s">
        <v>86</v>
      </c>
      <c r="F185" s="7" t="s">
        <v>47</v>
      </c>
      <c r="G185" s="7" t="n">
        <v>4</v>
      </c>
      <c r="H185" s="7" t="n">
        <v>10</v>
      </c>
      <c r="I185" s="7" t="n">
        <v>5</v>
      </c>
      <c r="J185" s="7" t="s">
        <v>48</v>
      </c>
      <c r="K185" s="7" t="n">
        <v>1</v>
      </c>
      <c r="L185" s="7"/>
      <c r="M185" s="7"/>
      <c r="N185" s="7"/>
      <c r="O185" s="7"/>
      <c r="P185" s="7" t="n">
        <v>0</v>
      </c>
      <c r="Q185" s="7" t="s">
        <v>245</v>
      </c>
      <c r="R185" s="7" t="s">
        <v>67</v>
      </c>
      <c r="S185" s="7" t="s">
        <v>984</v>
      </c>
      <c r="T185" s="7" t="n">
        <v>2</v>
      </c>
      <c r="U185" s="6" t="n">
        <f aca="false">ROUND(2*T185^2*IF(D185="Rare Active",6,IF(D185="Workhorse",2,1))+(K185+M185+O185)/2,0)</f>
        <v>9</v>
      </c>
      <c r="V185" s="7" t="n">
        <v>45</v>
      </c>
      <c r="W185" s="6" t="str">
        <f aca="false">IF(COUNTIF(Plants!$A$2:$A$1000,C185)&gt;0,"yes","")</f>
        <v>yes</v>
      </c>
    </row>
    <row r="186" customFormat="false" ht="15" hidden="false" customHeight="false" outlineLevel="0" collapsed="false">
      <c r="A186" s="6" t="s">
        <v>985</v>
      </c>
      <c r="B186" s="7" t="s">
        <v>986</v>
      </c>
      <c r="C186" s="7" t="s">
        <v>987</v>
      </c>
      <c r="D186" s="7" t="s">
        <v>45</v>
      </c>
      <c r="E186" s="7" t="s">
        <v>86</v>
      </c>
      <c r="F186" s="7" t="s">
        <v>131</v>
      </c>
      <c r="G186" s="7" t="n">
        <v>9</v>
      </c>
      <c r="H186" s="7" t="n">
        <v>12</v>
      </c>
      <c r="I186" s="7" t="n">
        <v>0</v>
      </c>
      <c r="J186" s="7" t="s">
        <v>58</v>
      </c>
      <c r="K186" s="7" t="n">
        <v>2</v>
      </c>
      <c r="L186" s="7" t="s">
        <v>132</v>
      </c>
      <c r="M186" s="7" t="n">
        <v>2</v>
      </c>
      <c r="N186" s="7"/>
      <c r="O186" s="7"/>
      <c r="P186" s="7" t="n">
        <v>2</v>
      </c>
      <c r="Q186" s="7" t="s">
        <v>81</v>
      </c>
      <c r="R186" s="7" t="s">
        <v>60</v>
      </c>
      <c r="S186" s="7" t="s">
        <v>988</v>
      </c>
      <c r="T186" s="7" t="n">
        <v>1</v>
      </c>
      <c r="U186" s="6" t="n">
        <f aca="false">ROUND(2*T186^2*IF(D186="Rare Active",6,IF(D186="Workhorse",2,1))+(K186+M186+O186)/2,0)</f>
        <v>4</v>
      </c>
      <c r="V186" s="7" t="n">
        <v>10</v>
      </c>
      <c r="W186" s="6" t="str">
        <f aca="false">IF(COUNTIF(Plants!$A$2:$A$1000,C186)&gt;0,"yes","")</f>
        <v>yes</v>
      </c>
    </row>
  </sheetData>
  <autoFilter ref="A1:V186"/>
  <conditionalFormatting sqref="P2:P186">
    <cfRule type="cellIs" priority="2" operator="greaterThanOrEqual" aboveAverage="0" equalAverage="0" bottom="0" percent="0" rank="0" text="" dxfId="7">
      <formula>9</formula>
    </cfRule>
    <cfRule type="cellIs" priority="3" operator="between" aboveAverage="0" equalAverage="0" bottom="0" percent="0" rank="0" text="" dxfId="8">
      <formula>5</formula>
      <formula>8</formula>
    </cfRule>
  </conditionalFormatting>
  <conditionalFormatting sqref="D2:D186">
    <cfRule type="cellIs" priority="4" operator="equal" aboveAverage="0" equalAverage="0" bottom="0" percent="0" rank="0" text="" dxfId="9">
      <formula>"Rare Active"</formula>
    </cfRule>
  </conditionalFormatting>
  <dataValidations count="1">
    <dataValidation allowBlank="false" errorStyle="stop" operator="between" showDropDown="false" showErrorMessage="false" showInputMessage="false" sqref="D2:D500" type="list">
      <formula1>"Base,Workhorse,Rare Active"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7"/>
    <col collapsed="false" customWidth="true" hidden="false" outlineLevel="0" max="5" min="4" style="0" width="13"/>
    <col collapsed="false" customWidth="true" hidden="false" outlineLevel="0" max="6" min="6" style="0" width="9"/>
    <col collapsed="false" customWidth="true" hidden="false" outlineLevel="0" max="9" min="7" style="0" width="10"/>
    <col collapsed="false" customWidth="true" hidden="false" outlineLevel="0" max="14" min="10" style="0" width="9"/>
    <col collapsed="false" customWidth="true" hidden="false" outlineLevel="0" max="16" min="15" style="0" width="11"/>
    <col collapsed="false" customWidth="true" hidden="false" outlineLevel="0" max="24" min="17" style="0" width="8"/>
    <col collapsed="false" customWidth="true" hidden="false" outlineLevel="0" max="25" min="25" style="0" width="9"/>
    <col collapsed="false" customWidth="true" hidden="false" outlineLevel="0" max="26" min="26" style="0" width="8"/>
    <col collapsed="false" customWidth="true" hidden="false" outlineLevel="0" max="27" min="27" style="0" width="12"/>
    <col collapsed="false" customWidth="true" hidden="false" outlineLevel="0" max="28" min="28" style="0" width="11"/>
    <col collapsed="false" customWidth="true" hidden="false" outlineLevel="0" max="30" min="29" style="0" width="9"/>
    <col collapsed="false" customWidth="true" hidden="false" outlineLevel="0" max="31" min="31" style="0" width="13"/>
    <col collapsed="false" customWidth="true" hidden="false" outlineLevel="0" max="32" min="32" style="0" width="11"/>
    <col collapsed="false" customWidth="true" hidden="false" outlineLevel="0" max="33" min="33" style="0" width="60"/>
  </cols>
  <sheetData>
    <row r="1" customFormat="false" ht="52.2" hidden="false" customHeight="false" outlineLevel="0" collapsed="false">
      <c r="A1" s="4" t="s">
        <v>21</v>
      </c>
      <c r="B1" s="4" t="s">
        <v>989</v>
      </c>
      <c r="C1" s="4" t="s">
        <v>990</v>
      </c>
      <c r="D1" s="4" t="s">
        <v>991</v>
      </c>
      <c r="E1" s="4" t="s">
        <v>992</v>
      </c>
      <c r="F1" s="4" t="s">
        <v>993</v>
      </c>
      <c r="G1" s="4" t="s">
        <v>994</v>
      </c>
      <c r="H1" s="4" t="s">
        <v>995</v>
      </c>
      <c r="I1" s="4" t="s">
        <v>996</v>
      </c>
      <c r="J1" s="4" t="s">
        <v>997</v>
      </c>
      <c r="K1" s="4" t="s">
        <v>998</v>
      </c>
      <c r="L1" s="4" t="s">
        <v>999</v>
      </c>
      <c r="M1" s="4" t="s">
        <v>1000</v>
      </c>
      <c r="N1" s="4" t="s">
        <v>1001</v>
      </c>
      <c r="O1" s="4" t="s">
        <v>1002</v>
      </c>
      <c r="P1" s="4" t="s">
        <v>1003</v>
      </c>
      <c r="Q1" s="4" t="s">
        <v>1004</v>
      </c>
      <c r="R1" s="4" t="s">
        <v>1005</v>
      </c>
      <c r="S1" s="4" t="s">
        <v>1006</v>
      </c>
      <c r="T1" s="4" t="s">
        <v>1007</v>
      </c>
      <c r="U1" s="4" t="s">
        <v>1008</v>
      </c>
      <c r="V1" s="4" t="s">
        <v>1009</v>
      </c>
      <c r="W1" s="4" t="s">
        <v>1010</v>
      </c>
      <c r="X1" s="4" t="s">
        <v>1011</v>
      </c>
      <c r="Y1" s="4" t="s">
        <v>1012</v>
      </c>
      <c r="Z1" s="4" t="s">
        <v>1013</v>
      </c>
      <c r="AA1" s="4" t="s">
        <v>1014</v>
      </c>
      <c r="AB1" s="4" t="s">
        <v>1015</v>
      </c>
      <c r="AC1" s="4" t="s">
        <v>1016</v>
      </c>
      <c r="AD1" s="4" t="s">
        <v>1017</v>
      </c>
      <c r="AE1" s="4" t="s">
        <v>1018</v>
      </c>
      <c r="AF1" s="4" t="s">
        <v>1019</v>
      </c>
      <c r="AG1" s="4" t="s">
        <v>1020</v>
      </c>
    </row>
    <row r="2" customFormat="false" ht="15" hidden="false" customHeight="false" outlineLevel="0" collapsed="false">
      <c r="A2" s="7" t="s">
        <v>798</v>
      </c>
      <c r="B2" s="7" t="s">
        <v>797</v>
      </c>
      <c r="C2" s="7" t="s">
        <v>1021</v>
      </c>
      <c r="D2" s="7" t="s">
        <v>1022</v>
      </c>
      <c r="E2" s="7" t="s">
        <v>1023</v>
      </c>
      <c r="F2" s="7" t="n">
        <v>1</v>
      </c>
      <c r="G2" s="8" t="s">
        <v>1024</v>
      </c>
      <c r="H2" s="9" t="s">
        <v>1025</v>
      </c>
      <c r="I2" s="10" t="s">
        <v>1026</v>
      </c>
      <c r="J2" s="7" t="n">
        <v>75</v>
      </c>
      <c r="K2" s="7" t="n">
        <v>170</v>
      </c>
      <c r="L2" s="7" t="n">
        <v>275</v>
      </c>
      <c r="M2" s="7" t="n">
        <v>220</v>
      </c>
      <c r="N2" s="7" t="n">
        <v>300</v>
      </c>
      <c r="O2" s="7" t="s">
        <v>1027</v>
      </c>
      <c r="P2" s="7"/>
      <c r="Q2" s="11" t="n">
        <v>1</v>
      </c>
      <c r="R2" s="11" t="n">
        <v>0.35</v>
      </c>
      <c r="S2" s="11" t="n">
        <v>0.35</v>
      </c>
      <c r="T2" s="11" t="n">
        <v>0.3</v>
      </c>
      <c r="U2" s="11" t="n">
        <v>0.55</v>
      </c>
      <c r="V2" s="11" t="n">
        <v>0.35</v>
      </c>
      <c r="W2" s="11" t="n">
        <v>0.45</v>
      </c>
      <c r="X2" s="11" t="n">
        <v>0.35</v>
      </c>
      <c r="Y2" s="7" t="n">
        <v>2</v>
      </c>
      <c r="Z2" s="7" t="n">
        <v>0</v>
      </c>
      <c r="AA2" s="7" t="s">
        <v>1028</v>
      </c>
      <c r="AB2" s="7" t="s">
        <v>1029</v>
      </c>
      <c r="AC2" s="7" t="n">
        <v>6</v>
      </c>
      <c r="AD2" s="7" t="n">
        <v>0.6</v>
      </c>
      <c r="AE2" s="7" t="s">
        <v>1030</v>
      </c>
      <c r="AF2" s="7" t="s">
        <v>1031</v>
      </c>
      <c r="AG2" s="7" t="s">
        <v>1032</v>
      </c>
    </row>
    <row r="3" customFormat="false" ht="15" hidden="false" customHeight="false" outlineLevel="0" collapsed="false">
      <c r="A3" s="7" t="s">
        <v>314</v>
      </c>
      <c r="B3" s="7" t="s">
        <v>1033</v>
      </c>
      <c r="C3" s="7" t="s">
        <v>1021</v>
      </c>
      <c r="D3" s="7" t="s">
        <v>1022</v>
      </c>
      <c r="E3" s="7" t="s">
        <v>1034</v>
      </c>
      <c r="F3" s="7" t="n">
        <v>0.9</v>
      </c>
      <c r="G3" s="12" t="s">
        <v>1035</v>
      </c>
      <c r="H3" s="13" t="s">
        <v>1036</v>
      </c>
      <c r="I3" s="10" t="s">
        <v>1037</v>
      </c>
      <c r="J3" s="7" t="n">
        <v>70</v>
      </c>
      <c r="K3" s="7" t="n">
        <v>165</v>
      </c>
      <c r="L3" s="7" t="n">
        <v>260</v>
      </c>
      <c r="M3" s="7" t="n">
        <v>230</v>
      </c>
      <c r="N3" s="7" t="n">
        <v>300</v>
      </c>
      <c r="O3" s="7" t="s">
        <v>1027</v>
      </c>
      <c r="P3" s="7"/>
      <c r="Q3" s="11" t="n">
        <v>1</v>
      </c>
      <c r="R3" s="11" t="n">
        <v>0.35</v>
      </c>
      <c r="S3" s="11" t="n">
        <v>0.4</v>
      </c>
      <c r="T3" s="11" t="n">
        <v>0.3</v>
      </c>
      <c r="U3" s="11" t="n">
        <v>0.45</v>
      </c>
      <c r="V3" s="11" t="n">
        <v>0.3</v>
      </c>
      <c r="W3" s="11" t="n">
        <v>0.4</v>
      </c>
      <c r="X3" s="11" t="n">
        <v>0.35</v>
      </c>
      <c r="Y3" s="7" t="n">
        <v>2</v>
      </c>
      <c r="Z3" s="7" t="n">
        <v>0</v>
      </c>
      <c r="AA3" s="7" t="s">
        <v>1028</v>
      </c>
      <c r="AB3" s="7" t="s">
        <v>1029</v>
      </c>
      <c r="AC3" s="7" t="n">
        <v>8</v>
      </c>
      <c r="AD3" s="7" t="n">
        <v>0.7</v>
      </c>
      <c r="AE3" s="7" t="s">
        <v>1030</v>
      </c>
      <c r="AF3" s="7" t="s">
        <v>1038</v>
      </c>
      <c r="AG3" s="7" t="s">
        <v>1039</v>
      </c>
    </row>
    <row r="4" customFormat="false" ht="15" hidden="false" customHeight="false" outlineLevel="0" collapsed="false">
      <c r="A4" s="7" t="s">
        <v>320</v>
      </c>
      <c r="B4" s="7" t="s">
        <v>319</v>
      </c>
      <c r="C4" s="7" t="s">
        <v>1021</v>
      </c>
      <c r="D4" s="7" t="s">
        <v>1022</v>
      </c>
      <c r="E4" s="7" t="s">
        <v>1034</v>
      </c>
      <c r="F4" s="7" t="n">
        <v>1.3</v>
      </c>
      <c r="G4" s="14" t="s">
        <v>1040</v>
      </c>
      <c r="H4" s="15" t="s">
        <v>1041</v>
      </c>
      <c r="I4" s="16" t="s">
        <v>1042</v>
      </c>
      <c r="J4" s="7" t="n">
        <v>75</v>
      </c>
      <c r="K4" s="7" t="n">
        <v>150</v>
      </c>
      <c r="L4" s="7" t="n">
        <v>200</v>
      </c>
      <c r="M4" s="7" t="n">
        <v>205</v>
      </c>
      <c r="N4" s="7" t="n">
        <v>260</v>
      </c>
      <c r="O4" s="7" t="s">
        <v>1027</v>
      </c>
      <c r="P4" s="7"/>
      <c r="Q4" s="11" t="n">
        <v>1</v>
      </c>
      <c r="R4" s="11" t="n">
        <v>0.35</v>
      </c>
      <c r="S4" s="11" t="n">
        <v>0.5</v>
      </c>
      <c r="T4" s="11" t="n">
        <v>0.3</v>
      </c>
      <c r="U4" s="11" t="n">
        <v>0.4</v>
      </c>
      <c r="V4" s="11" t="n">
        <v>0.3</v>
      </c>
      <c r="W4" s="11" t="n">
        <v>0.55</v>
      </c>
      <c r="X4" s="11" t="n">
        <v>0.3</v>
      </c>
      <c r="Y4" s="7" t="n">
        <v>2</v>
      </c>
      <c r="Z4" s="7" t="n">
        <v>0</v>
      </c>
      <c r="AA4" s="7" t="s">
        <v>1028</v>
      </c>
      <c r="AB4" s="7" t="s">
        <v>1029</v>
      </c>
      <c r="AC4" s="7" t="n">
        <v>10</v>
      </c>
      <c r="AD4" s="7" t="n">
        <v>0.5</v>
      </c>
      <c r="AE4" s="7" t="s">
        <v>1043</v>
      </c>
      <c r="AF4" s="7" t="s">
        <v>1038</v>
      </c>
      <c r="AG4" s="7" t="s">
        <v>1044</v>
      </c>
    </row>
    <row r="5" customFormat="false" ht="15" hidden="false" customHeight="false" outlineLevel="0" collapsed="false">
      <c r="A5" s="7" t="s">
        <v>794</v>
      </c>
      <c r="B5" s="7" t="s">
        <v>793</v>
      </c>
      <c r="C5" s="7" t="s">
        <v>1021</v>
      </c>
      <c r="D5" s="7" t="s">
        <v>1022</v>
      </c>
      <c r="E5" s="7" t="s">
        <v>1034</v>
      </c>
      <c r="F5" s="7" t="n">
        <v>1.8</v>
      </c>
      <c r="G5" s="17" t="s">
        <v>1045</v>
      </c>
      <c r="H5" s="18" t="s">
        <v>1046</v>
      </c>
      <c r="I5" s="16" t="s">
        <v>1047</v>
      </c>
      <c r="J5" s="7" t="n">
        <v>70</v>
      </c>
      <c r="K5" s="7" t="n">
        <v>185</v>
      </c>
      <c r="L5" s="7" t="n">
        <v>230</v>
      </c>
      <c r="M5" s="7" t="n">
        <v>245</v>
      </c>
      <c r="N5" s="7" t="n">
        <v>280</v>
      </c>
      <c r="O5" s="7" t="s">
        <v>1048</v>
      </c>
      <c r="P5" s="7"/>
      <c r="Q5" s="11" t="n">
        <v>1</v>
      </c>
      <c r="R5" s="11" t="n">
        <v>0.35</v>
      </c>
      <c r="S5" s="11" t="n">
        <v>0.55</v>
      </c>
      <c r="T5" s="11" t="n">
        <v>0.3</v>
      </c>
      <c r="U5" s="11" t="n">
        <v>0.4</v>
      </c>
      <c r="V5" s="11" t="n">
        <v>0.3</v>
      </c>
      <c r="W5" s="11" t="n">
        <v>0.5</v>
      </c>
      <c r="X5" s="11" t="n">
        <v>0.3</v>
      </c>
      <c r="Y5" s="7" t="n">
        <v>1</v>
      </c>
      <c r="Z5" s="7" t="n">
        <v>0</v>
      </c>
      <c r="AA5" s="7" t="s">
        <v>1049</v>
      </c>
      <c r="AB5" s="7" t="s">
        <v>1029</v>
      </c>
      <c r="AC5" s="7" t="n">
        <v>12</v>
      </c>
      <c r="AD5" s="7" t="n">
        <v>0.45</v>
      </c>
      <c r="AE5" s="7" t="s">
        <v>1043</v>
      </c>
      <c r="AF5" s="7" t="s">
        <v>1050</v>
      </c>
      <c r="AG5" s="7" t="s">
        <v>1051</v>
      </c>
    </row>
    <row r="6" customFormat="false" ht="15" hidden="false" customHeight="false" outlineLevel="0" collapsed="false">
      <c r="A6" s="7" t="s">
        <v>825</v>
      </c>
      <c r="B6" s="7" t="s">
        <v>824</v>
      </c>
      <c r="C6" s="7" t="s">
        <v>1021</v>
      </c>
      <c r="D6" s="7" t="s">
        <v>1052</v>
      </c>
      <c r="E6" s="7" t="s">
        <v>1053</v>
      </c>
      <c r="F6" s="7" t="n">
        <v>0.9</v>
      </c>
      <c r="G6" s="19" t="s">
        <v>1054</v>
      </c>
      <c r="H6" s="20" t="s">
        <v>1055</v>
      </c>
      <c r="I6" s="21" t="s">
        <v>1056</v>
      </c>
      <c r="J6" s="7" t="n">
        <v>110</v>
      </c>
      <c r="K6" s="7" t="n">
        <v>220</v>
      </c>
      <c r="L6" s="7" t="n">
        <v>275</v>
      </c>
      <c r="M6" s="7" t="n">
        <v>260</v>
      </c>
      <c r="N6" s="7" t="n">
        <v>290</v>
      </c>
      <c r="O6" s="7" t="s">
        <v>1057</v>
      </c>
      <c r="P6" s="7"/>
      <c r="Q6" s="11" t="n">
        <v>1</v>
      </c>
      <c r="R6" s="11" t="n">
        <v>0.35</v>
      </c>
      <c r="S6" s="11" t="n">
        <v>0.4</v>
      </c>
      <c r="T6" s="11" t="n">
        <v>0.3</v>
      </c>
      <c r="U6" s="11" t="n">
        <v>0.75</v>
      </c>
      <c r="V6" s="11" t="n">
        <v>0.3</v>
      </c>
      <c r="W6" s="11" t="n">
        <v>0.5</v>
      </c>
      <c r="X6" s="11" t="n">
        <v>0.35</v>
      </c>
      <c r="Y6" s="7" t="n">
        <v>1</v>
      </c>
      <c r="Z6" s="7" t="n">
        <v>0</v>
      </c>
      <c r="AA6" s="7" t="s">
        <v>1058</v>
      </c>
      <c r="AB6" s="7" t="s">
        <v>1059</v>
      </c>
      <c r="AC6" s="7" t="n">
        <v>5</v>
      </c>
      <c r="AD6" s="7" t="n">
        <v>0.6</v>
      </c>
      <c r="AE6" s="7" t="s">
        <v>1030</v>
      </c>
      <c r="AF6" s="7" t="s">
        <v>1060</v>
      </c>
      <c r="AG6" s="7" t="s">
        <v>1061</v>
      </c>
    </row>
    <row r="7" customFormat="false" ht="15" hidden="false" customHeight="false" outlineLevel="0" collapsed="false">
      <c r="A7" s="7" t="s">
        <v>715</v>
      </c>
      <c r="B7" s="7" t="s">
        <v>714</v>
      </c>
      <c r="C7" s="7" t="s">
        <v>1021</v>
      </c>
      <c r="D7" s="7" t="s">
        <v>1052</v>
      </c>
      <c r="E7" s="7" t="s">
        <v>1023</v>
      </c>
      <c r="F7" s="7" t="n">
        <v>0.6</v>
      </c>
      <c r="G7" s="12" t="s">
        <v>1062</v>
      </c>
      <c r="H7" s="22" t="s">
        <v>1063</v>
      </c>
      <c r="I7" s="23" t="s">
        <v>1064</v>
      </c>
      <c r="J7" s="7" t="n">
        <v>120</v>
      </c>
      <c r="K7" s="7" t="n">
        <v>150</v>
      </c>
      <c r="L7" s="7" t="n">
        <v>250</v>
      </c>
      <c r="M7" s="7" t="n">
        <v>240</v>
      </c>
      <c r="N7" s="7" t="n">
        <v>285</v>
      </c>
      <c r="O7" s="7" t="s">
        <v>1048</v>
      </c>
      <c r="P7" s="7"/>
      <c r="Q7" s="11" t="n">
        <v>1</v>
      </c>
      <c r="R7" s="11" t="n">
        <v>0.35</v>
      </c>
      <c r="S7" s="11" t="n">
        <v>0.4</v>
      </c>
      <c r="T7" s="11" t="n">
        <v>0.3</v>
      </c>
      <c r="U7" s="11" t="n">
        <v>0.6</v>
      </c>
      <c r="V7" s="11" t="n">
        <v>0.35</v>
      </c>
      <c r="W7" s="11" t="n">
        <v>0.45</v>
      </c>
      <c r="X7" s="11" t="n">
        <v>0.35</v>
      </c>
      <c r="Y7" s="7" t="n">
        <v>2</v>
      </c>
      <c r="Z7" s="7" t="n">
        <v>0</v>
      </c>
      <c r="AA7" s="7" t="s">
        <v>1058</v>
      </c>
      <c r="AB7" s="7" t="s">
        <v>1065</v>
      </c>
      <c r="AC7" s="7" t="n">
        <v>6</v>
      </c>
      <c r="AD7" s="7" t="n">
        <v>0.4</v>
      </c>
      <c r="AE7" s="7" t="s">
        <v>1043</v>
      </c>
      <c r="AF7" s="7" t="s">
        <v>1031</v>
      </c>
      <c r="AG7" s="7" t="s">
        <v>1066</v>
      </c>
    </row>
    <row r="8" customFormat="false" ht="15" hidden="false" customHeight="false" outlineLevel="0" collapsed="false">
      <c r="A8" s="7" t="s">
        <v>299</v>
      </c>
      <c r="B8" s="7" t="s">
        <v>298</v>
      </c>
      <c r="C8" s="7" t="s">
        <v>1021</v>
      </c>
      <c r="D8" s="7" t="s">
        <v>1022</v>
      </c>
      <c r="E8" s="7" t="s">
        <v>1034</v>
      </c>
      <c r="F8" s="7" t="n">
        <v>1.6</v>
      </c>
      <c r="G8" s="24" t="s">
        <v>1067</v>
      </c>
      <c r="H8" s="25" t="s">
        <v>1068</v>
      </c>
      <c r="I8" s="26" t="s">
        <v>1069</v>
      </c>
      <c r="J8" s="7" t="n">
        <v>60</v>
      </c>
      <c r="K8" s="7" t="n">
        <v>170</v>
      </c>
      <c r="L8" s="7" t="n">
        <v>245</v>
      </c>
      <c r="M8" s="7" t="n">
        <v>240</v>
      </c>
      <c r="N8" s="7" t="n">
        <v>300</v>
      </c>
      <c r="O8" s="7" t="s">
        <v>1027</v>
      </c>
      <c r="P8" s="7"/>
      <c r="Q8" s="11" t="n">
        <v>1</v>
      </c>
      <c r="R8" s="11" t="n">
        <v>0.3</v>
      </c>
      <c r="S8" s="11" t="n">
        <v>0.3</v>
      </c>
      <c r="T8" s="11" t="n">
        <v>0.3</v>
      </c>
      <c r="U8" s="11" t="n">
        <v>0.55</v>
      </c>
      <c r="V8" s="11" t="n">
        <v>0.3</v>
      </c>
      <c r="W8" s="11" t="n">
        <v>0.35</v>
      </c>
      <c r="X8" s="11" t="n">
        <v>0.3</v>
      </c>
      <c r="Y8" s="7" t="n">
        <v>1</v>
      </c>
      <c r="Z8" s="7" t="n">
        <v>0</v>
      </c>
      <c r="AA8" s="7" t="s">
        <v>1028</v>
      </c>
      <c r="AB8" s="7" t="s">
        <v>1059</v>
      </c>
      <c r="AC8" s="7" t="n">
        <v>8</v>
      </c>
      <c r="AD8" s="7" t="n">
        <v>0.45</v>
      </c>
      <c r="AE8" s="7" t="s">
        <v>1030</v>
      </c>
      <c r="AF8" s="7" t="s">
        <v>1070</v>
      </c>
      <c r="AG8" s="7" t="s">
        <v>1071</v>
      </c>
    </row>
    <row r="9" customFormat="false" ht="15" hidden="false" customHeight="false" outlineLevel="0" collapsed="false">
      <c r="A9" s="7" t="s">
        <v>112</v>
      </c>
      <c r="B9" s="7" t="s">
        <v>111</v>
      </c>
      <c r="C9" s="7" t="s">
        <v>1021</v>
      </c>
      <c r="D9" s="7" t="s">
        <v>1022</v>
      </c>
      <c r="E9" s="7" t="s">
        <v>1023</v>
      </c>
      <c r="F9" s="7" t="n">
        <v>1</v>
      </c>
      <c r="G9" s="17" t="s">
        <v>1072</v>
      </c>
      <c r="H9" s="27" t="s">
        <v>1073</v>
      </c>
      <c r="I9" s="28" t="s">
        <v>1074</v>
      </c>
      <c r="J9" s="7" t="n">
        <v>55</v>
      </c>
      <c r="K9" s="7" t="n">
        <v>140</v>
      </c>
      <c r="L9" s="7" t="n">
        <v>180</v>
      </c>
      <c r="M9" s="7" t="n">
        <v>190</v>
      </c>
      <c r="N9" s="7" t="n">
        <v>320</v>
      </c>
      <c r="O9" s="7" t="s">
        <v>1027</v>
      </c>
      <c r="P9" s="7"/>
      <c r="Q9" s="11" t="n">
        <v>1</v>
      </c>
      <c r="R9" s="11" t="n">
        <v>0.4</v>
      </c>
      <c r="S9" s="11" t="n">
        <v>0.6</v>
      </c>
      <c r="T9" s="11" t="n">
        <v>0.3</v>
      </c>
      <c r="U9" s="11" t="n">
        <v>0.5</v>
      </c>
      <c r="V9" s="11" t="n">
        <v>0.35</v>
      </c>
      <c r="W9" s="11" t="n">
        <v>0.6</v>
      </c>
      <c r="X9" s="11" t="n">
        <v>0.3</v>
      </c>
      <c r="Y9" s="7" t="n">
        <v>2</v>
      </c>
      <c r="Z9" s="7" t="n">
        <v>0</v>
      </c>
      <c r="AA9" s="7" t="s">
        <v>1028</v>
      </c>
      <c r="AB9" s="7" t="s">
        <v>1029</v>
      </c>
      <c r="AC9" s="7" t="n">
        <v>6</v>
      </c>
      <c r="AD9" s="7" t="n">
        <v>0.55</v>
      </c>
      <c r="AE9" s="7" t="s">
        <v>1043</v>
      </c>
      <c r="AF9" s="7" t="s">
        <v>1060</v>
      </c>
      <c r="AG9" s="7" t="s">
        <v>1075</v>
      </c>
    </row>
    <row r="10" customFormat="false" ht="15" hidden="false" customHeight="false" outlineLevel="0" collapsed="false">
      <c r="A10" s="7" t="s">
        <v>255</v>
      </c>
      <c r="B10" s="7" t="s">
        <v>254</v>
      </c>
      <c r="C10" s="7" t="s">
        <v>1021</v>
      </c>
      <c r="D10" s="7" t="s">
        <v>1076</v>
      </c>
      <c r="E10" s="7" t="s">
        <v>1023</v>
      </c>
      <c r="F10" s="7" t="n">
        <v>0.35</v>
      </c>
      <c r="G10" s="29" t="s">
        <v>1077</v>
      </c>
      <c r="H10" s="30" t="s">
        <v>1078</v>
      </c>
      <c r="I10" s="21" t="s">
        <v>1056</v>
      </c>
      <c r="J10" s="7" t="n">
        <v>75</v>
      </c>
      <c r="K10" s="7" t="n">
        <v>75</v>
      </c>
      <c r="L10" s="7" t="n">
        <v>105</v>
      </c>
      <c r="M10" s="7" t="n">
        <v>105</v>
      </c>
      <c r="N10" s="7" t="n">
        <v>300</v>
      </c>
      <c r="O10" s="7" t="s">
        <v>1057</v>
      </c>
      <c r="P10" s="7"/>
      <c r="Q10" s="11" t="n">
        <v>0.85</v>
      </c>
      <c r="R10" s="11" t="n">
        <v>0.4</v>
      </c>
      <c r="S10" s="11" t="n">
        <v>0.75</v>
      </c>
      <c r="T10" s="11" t="n">
        <v>0.25</v>
      </c>
      <c r="U10" s="11" t="n">
        <v>0.35</v>
      </c>
      <c r="V10" s="11" t="n">
        <v>0.35</v>
      </c>
      <c r="W10" s="11" t="n">
        <v>0.45</v>
      </c>
      <c r="X10" s="11" t="n">
        <v>0.35</v>
      </c>
      <c r="Y10" s="7" t="n">
        <v>2</v>
      </c>
      <c r="Z10" s="7" t="n">
        <v>0</v>
      </c>
      <c r="AA10" s="7" t="s">
        <v>1058</v>
      </c>
      <c r="AB10" s="7" t="s">
        <v>1079</v>
      </c>
      <c r="AC10" s="7" t="n">
        <v>5</v>
      </c>
      <c r="AD10" s="7" t="n">
        <v>0.5</v>
      </c>
      <c r="AE10" s="7" t="s">
        <v>1030</v>
      </c>
      <c r="AF10" s="7" t="s">
        <v>1070</v>
      </c>
      <c r="AG10" s="7" t="s">
        <v>1080</v>
      </c>
    </row>
    <row r="11" customFormat="false" ht="15" hidden="false" customHeight="false" outlineLevel="0" collapsed="false">
      <c r="A11" s="7" t="s">
        <v>809</v>
      </c>
      <c r="B11" s="7" t="s">
        <v>808</v>
      </c>
      <c r="C11" s="7" t="s">
        <v>1021</v>
      </c>
      <c r="D11" s="7" t="s">
        <v>1027</v>
      </c>
      <c r="E11" s="7" t="s">
        <v>1081</v>
      </c>
      <c r="F11" s="7" t="n">
        <v>0.3</v>
      </c>
      <c r="G11" s="12" t="s">
        <v>1035</v>
      </c>
      <c r="H11" s="31" t="s">
        <v>1082</v>
      </c>
      <c r="I11" s="16" t="s">
        <v>1083</v>
      </c>
      <c r="J11" s="7" t="n">
        <v>280</v>
      </c>
      <c r="K11" s="7" t="n">
        <v>60</v>
      </c>
      <c r="L11" s="7" t="n">
        <v>150</v>
      </c>
      <c r="M11" s="7" t="n">
        <v>120</v>
      </c>
      <c r="N11" s="7" t="n">
        <v>170</v>
      </c>
      <c r="O11" s="7" t="s">
        <v>1027</v>
      </c>
      <c r="P11" s="7"/>
      <c r="Q11" s="11" t="n">
        <v>1</v>
      </c>
      <c r="R11" s="11" t="n">
        <v>0.4</v>
      </c>
      <c r="S11" s="11" t="n">
        <v>0.45</v>
      </c>
      <c r="T11" s="11" t="n">
        <v>0.35</v>
      </c>
      <c r="U11" s="11" t="n">
        <v>0.65</v>
      </c>
      <c r="V11" s="11" t="n">
        <v>0.35</v>
      </c>
      <c r="W11" s="11" t="n">
        <v>0.55</v>
      </c>
      <c r="X11" s="11" t="n">
        <v>0.35</v>
      </c>
      <c r="Y11" s="7" t="n">
        <v>3</v>
      </c>
      <c r="Z11" s="7" t="n">
        <v>0</v>
      </c>
      <c r="AA11" s="7" t="s">
        <v>1028</v>
      </c>
      <c r="AB11" s="7" t="s">
        <v>1059</v>
      </c>
      <c r="AC11" s="7" t="n">
        <v>3</v>
      </c>
      <c r="AD11" s="7" t="n">
        <v>0.5</v>
      </c>
      <c r="AE11" s="7" t="s">
        <v>1030</v>
      </c>
      <c r="AF11" s="7" t="s">
        <v>1070</v>
      </c>
      <c r="AG11" s="7" t="s">
        <v>1084</v>
      </c>
    </row>
    <row r="12" customFormat="false" ht="15" hidden="false" customHeight="false" outlineLevel="0" collapsed="false">
      <c r="A12" s="7" t="s">
        <v>76</v>
      </c>
      <c r="B12" s="7" t="s">
        <v>75</v>
      </c>
      <c r="C12" s="7" t="s">
        <v>1021</v>
      </c>
      <c r="D12" s="7" t="s">
        <v>1027</v>
      </c>
      <c r="E12" s="7" t="s">
        <v>1023</v>
      </c>
      <c r="F12" s="7" t="n">
        <v>0.25</v>
      </c>
      <c r="G12" s="32" t="s">
        <v>1085</v>
      </c>
      <c r="H12" s="33" t="s">
        <v>1086</v>
      </c>
      <c r="I12" s="34" t="s">
        <v>1087</v>
      </c>
      <c r="J12" s="7" t="n">
        <v>50</v>
      </c>
      <c r="K12" s="7" t="n">
        <v>80</v>
      </c>
      <c r="L12" s="7" t="n">
        <v>140</v>
      </c>
      <c r="M12" s="7" t="n">
        <v>110</v>
      </c>
      <c r="N12" s="7" t="n">
        <v>340</v>
      </c>
      <c r="O12" s="7" t="s">
        <v>1027</v>
      </c>
      <c r="P12" s="7"/>
      <c r="Q12" s="11" t="n">
        <v>0.95</v>
      </c>
      <c r="R12" s="11" t="n">
        <v>0.4</v>
      </c>
      <c r="S12" s="11" t="n">
        <v>0.5</v>
      </c>
      <c r="T12" s="11" t="n">
        <v>0.35</v>
      </c>
      <c r="U12" s="11" t="n">
        <v>0.4</v>
      </c>
      <c r="V12" s="11" t="n">
        <v>0.35</v>
      </c>
      <c r="W12" s="11" t="n">
        <v>0.55</v>
      </c>
      <c r="X12" s="11" t="n">
        <v>0.35</v>
      </c>
      <c r="Y12" s="7" t="n">
        <v>3</v>
      </c>
      <c r="Z12" s="7" t="n">
        <v>0</v>
      </c>
      <c r="AA12" s="7" t="s">
        <v>1028</v>
      </c>
      <c r="AB12" s="7" t="s">
        <v>1029</v>
      </c>
      <c r="AC12" s="7" t="n">
        <v>4</v>
      </c>
      <c r="AD12" s="7" t="n">
        <v>0.75</v>
      </c>
      <c r="AE12" s="7" t="s">
        <v>1043</v>
      </c>
      <c r="AF12" s="7" t="s">
        <v>1031</v>
      </c>
      <c r="AG12" s="7" t="s">
        <v>1088</v>
      </c>
    </row>
    <row r="13" customFormat="false" ht="15" hidden="false" customHeight="false" outlineLevel="0" collapsed="false">
      <c r="A13" s="7" t="s">
        <v>85</v>
      </c>
      <c r="B13" s="7" t="s">
        <v>84</v>
      </c>
      <c r="C13" s="7" t="s">
        <v>1021</v>
      </c>
      <c r="D13" s="7" t="s">
        <v>1027</v>
      </c>
      <c r="E13" s="7" t="s">
        <v>1023</v>
      </c>
      <c r="F13" s="7" t="n">
        <v>0.15</v>
      </c>
      <c r="G13" s="35" t="s">
        <v>1089</v>
      </c>
      <c r="H13" s="36" t="s">
        <v>1090</v>
      </c>
      <c r="I13" s="37" t="s">
        <v>1091</v>
      </c>
      <c r="J13" s="7" t="n">
        <v>75</v>
      </c>
      <c r="K13" s="7" t="n">
        <v>90</v>
      </c>
      <c r="L13" s="7" t="n">
        <v>125</v>
      </c>
      <c r="M13" s="7" t="n">
        <v>140</v>
      </c>
      <c r="N13" s="7" t="n">
        <v>310</v>
      </c>
      <c r="O13" s="7" t="s">
        <v>1057</v>
      </c>
      <c r="P13" s="7"/>
      <c r="Q13" s="11" t="n">
        <v>0.6</v>
      </c>
      <c r="R13" s="11" t="n">
        <v>0.35</v>
      </c>
      <c r="S13" s="11" t="n">
        <v>0.55</v>
      </c>
      <c r="T13" s="11" t="n">
        <v>0.3</v>
      </c>
      <c r="U13" s="11" t="n">
        <v>0.3</v>
      </c>
      <c r="V13" s="11" t="n">
        <v>0.3</v>
      </c>
      <c r="W13" s="11" t="n">
        <v>0.55</v>
      </c>
      <c r="X13" s="11" t="n">
        <v>0.3</v>
      </c>
      <c r="Y13" s="7" t="n">
        <v>3</v>
      </c>
      <c r="Z13" s="7" t="n">
        <v>1</v>
      </c>
      <c r="AA13" s="7" t="s">
        <v>1058</v>
      </c>
      <c r="AB13" s="7" t="s">
        <v>1092</v>
      </c>
      <c r="AC13" s="7" t="n">
        <v>5</v>
      </c>
      <c r="AD13" s="7" t="n">
        <v>0.6</v>
      </c>
      <c r="AE13" s="7" t="s">
        <v>1043</v>
      </c>
      <c r="AF13" s="7" t="s">
        <v>1031</v>
      </c>
      <c r="AG13" s="7" t="s">
        <v>1093</v>
      </c>
    </row>
    <row r="14" customFormat="false" ht="15" hidden="false" customHeight="false" outlineLevel="0" collapsed="false">
      <c r="A14" s="7" t="s">
        <v>55</v>
      </c>
      <c r="B14" s="7" t="s">
        <v>54</v>
      </c>
      <c r="C14" s="7" t="s">
        <v>1021</v>
      </c>
      <c r="D14" s="7" t="s">
        <v>1094</v>
      </c>
      <c r="E14" s="7" t="s">
        <v>1081</v>
      </c>
      <c r="F14" s="7" t="n">
        <v>0.1</v>
      </c>
      <c r="G14" s="38" t="s">
        <v>1095</v>
      </c>
      <c r="H14" s="39" t="s">
        <v>1096</v>
      </c>
      <c r="I14" s="12" t="s">
        <v>1097</v>
      </c>
      <c r="J14" s="7" t="n">
        <v>290</v>
      </c>
      <c r="K14" s="7" t="n">
        <v>50</v>
      </c>
      <c r="L14" s="7" t="n">
        <v>130</v>
      </c>
      <c r="M14" s="7" t="n">
        <v>100</v>
      </c>
      <c r="N14" s="7" t="n">
        <v>160</v>
      </c>
      <c r="O14" s="7" t="s">
        <v>1094</v>
      </c>
      <c r="P14" s="7"/>
      <c r="Q14" s="11" t="n">
        <v>0.7</v>
      </c>
      <c r="R14" s="11" t="n">
        <v>0.35</v>
      </c>
      <c r="S14" s="11" t="n">
        <v>0.6</v>
      </c>
      <c r="T14" s="11" t="n">
        <v>0.3</v>
      </c>
      <c r="U14" s="11" t="n">
        <v>0.55</v>
      </c>
      <c r="V14" s="11" t="n">
        <v>0.35</v>
      </c>
      <c r="W14" s="11" t="n">
        <v>0.7</v>
      </c>
      <c r="X14" s="11" t="n">
        <v>0.3</v>
      </c>
      <c r="Y14" s="7" t="n">
        <v>3</v>
      </c>
      <c r="Z14" s="7" t="n">
        <v>0</v>
      </c>
      <c r="AA14" s="7" t="s">
        <v>1028</v>
      </c>
      <c r="AB14" s="7" t="s">
        <v>1059</v>
      </c>
      <c r="AC14" s="7" t="n">
        <v>4</v>
      </c>
      <c r="AD14" s="7" t="n">
        <v>0.65</v>
      </c>
      <c r="AE14" s="7" t="s">
        <v>1043</v>
      </c>
      <c r="AF14" s="7" t="s">
        <v>1031</v>
      </c>
      <c r="AG14" s="7" t="s">
        <v>1098</v>
      </c>
    </row>
    <row r="15" customFormat="false" ht="15" hidden="false" customHeight="false" outlineLevel="0" collapsed="false">
      <c r="A15" s="7" t="s">
        <v>72</v>
      </c>
      <c r="B15" s="7" t="s">
        <v>71</v>
      </c>
      <c r="C15" s="7" t="s">
        <v>1021</v>
      </c>
      <c r="D15" s="7" t="s">
        <v>1094</v>
      </c>
      <c r="E15" s="7" t="s">
        <v>1081</v>
      </c>
      <c r="F15" s="7" t="n">
        <v>0.15</v>
      </c>
      <c r="G15" s="12" t="s">
        <v>1099</v>
      </c>
      <c r="H15" s="40" t="s">
        <v>1100</v>
      </c>
      <c r="I15" s="41" t="s">
        <v>1101</v>
      </c>
      <c r="J15" s="7" t="n">
        <v>290</v>
      </c>
      <c r="K15" s="7" t="n">
        <v>45</v>
      </c>
      <c r="L15" s="7" t="n">
        <v>120</v>
      </c>
      <c r="M15" s="7" t="n">
        <v>110</v>
      </c>
      <c r="N15" s="7" t="n">
        <v>150</v>
      </c>
      <c r="O15" s="7" t="s">
        <v>1094</v>
      </c>
      <c r="P15" s="7"/>
      <c r="Q15" s="11" t="n">
        <v>0.95</v>
      </c>
      <c r="R15" s="11" t="n">
        <v>0.35</v>
      </c>
      <c r="S15" s="11" t="n">
        <v>0.45</v>
      </c>
      <c r="T15" s="11" t="n">
        <v>0.3</v>
      </c>
      <c r="U15" s="11" t="n">
        <v>0.5</v>
      </c>
      <c r="V15" s="11" t="n">
        <v>0.35</v>
      </c>
      <c r="W15" s="11" t="n">
        <v>0.6</v>
      </c>
      <c r="X15" s="11" t="n">
        <v>0.3</v>
      </c>
      <c r="Y15" s="7" t="n">
        <v>3</v>
      </c>
      <c r="Z15" s="7" t="n">
        <v>0</v>
      </c>
      <c r="AA15" s="7" t="s">
        <v>1028</v>
      </c>
      <c r="AB15" s="7" t="s">
        <v>1059</v>
      </c>
      <c r="AC15" s="7" t="n">
        <v>7</v>
      </c>
      <c r="AD15" s="7" t="n">
        <v>0.85</v>
      </c>
      <c r="AE15" s="7" t="s">
        <v>1043</v>
      </c>
      <c r="AF15" s="7" t="s">
        <v>1070</v>
      </c>
      <c r="AG15" s="7" t="s">
        <v>1102</v>
      </c>
    </row>
    <row r="16" customFormat="false" ht="15" hidden="false" customHeight="false" outlineLevel="0" collapsed="false">
      <c r="A16" s="7" t="s">
        <v>64</v>
      </c>
      <c r="B16" s="7" t="s">
        <v>63</v>
      </c>
      <c r="C16" s="7" t="s">
        <v>1021</v>
      </c>
      <c r="D16" s="7" t="s">
        <v>1094</v>
      </c>
      <c r="E16" s="7" t="s">
        <v>1081</v>
      </c>
      <c r="F16" s="7" t="n">
        <v>0.2</v>
      </c>
      <c r="G16" s="42" t="s">
        <v>1103</v>
      </c>
      <c r="H16" s="43" t="s">
        <v>1104</v>
      </c>
      <c r="I16" s="44" t="s">
        <v>1105</v>
      </c>
      <c r="J16" s="7" t="n">
        <v>290</v>
      </c>
      <c r="K16" s="7" t="n">
        <v>55</v>
      </c>
      <c r="L16" s="7" t="n">
        <v>125</v>
      </c>
      <c r="M16" s="7" t="n">
        <v>115</v>
      </c>
      <c r="N16" s="7" t="n">
        <v>155</v>
      </c>
      <c r="O16" s="7" t="s">
        <v>1094</v>
      </c>
      <c r="P16" s="7"/>
      <c r="Q16" s="11" t="n">
        <v>0.9</v>
      </c>
      <c r="R16" s="11" t="n">
        <v>0.35</v>
      </c>
      <c r="S16" s="11" t="n">
        <v>0.5</v>
      </c>
      <c r="T16" s="11" t="n">
        <v>0.3</v>
      </c>
      <c r="U16" s="11" t="n">
        <v>0.45</v>
      </c>
      <c r="V16" s="11" t="n">
        <v>0.35</v>
      </c>
      <c r="W16" s="11" t="n">
        <v>0.6</v>
      </c>
      <c r="X16" s="11" t="n">
        <v>0.3</v>
      </c>
      <c r="Y16" s="7" t="n">
        <v>3</v>
      </c>
      <c r="Z16" s="7" t="n">
        <v>0</v>
      </c>
      <c r="AA16" s="7" t="s">
        <v>1028</v>
      </c>
      <c r="AB16" s="7" t="s">
        <v>1059</v>
      </c>
      <c r="AC16" s="7" t="n">
        <v>7</v>
      </c>
      <c r="AD16" s="7" t="n">
        <v>0.75</v>
      </c>
      <c r="AE16" s="7" t="s">
        <v>1043</v>
      </c>
      <c r="AF16" s="7" t="s">
        <v>1070</v>
      </c>
      <c r="AG16" s="7" t="s">
        <v>1106</v>
      </c>
    </row>
    <row r="17" customFormat="false" ht="15" hidden="false" customHeight="false" outlineLevel="0" collapsed="false">
      <c r="A17" s="7" t="s">
        <v>719</v>
      </c>
      <c r="B17" s="7" t="s">
        <v>718</v>
      </c>
      <c r="C17" s="7" t="s">
        <v>1021</v>
      </c>
      <c r="D17" s="7" t="s">
        <v>1094</v>
      </c>
      <c r="E17" s="7" t="s">
        <v>1023</v>
      </c>
      <c r="F17" s="7" t="n">
        <v>0.1</v>
      </c>
      <c r="G17" s="45" t="s">
        <v>1107</v>
      </c>
      <c r="H17" s="46" t="s">
        <v>1108</v>
      </c>
      <c r="I17" s="47" t="s">
        <v>1109</v>
      </c>
      <c r="J17" s="7" t="n">
        <v>50</v>
      </c>
      <c r="K17" s="7" t="n">
        <v>85</v>
      </c>
      <c r="L17" s="7" t="n">
        <v>130</v>
      </c>
      <c r="M17" s="7" t="n">
        <v>150</v>
      </c>
      <c r="N17" s="7" t="n">
        <v>340</v>
      </c>
      <c r="O17" s="7" t="s">
        <v>1094</v>
      </c>
      <c r="P17" s="7"/>
      <c r="Q17" s="11" t="n">
        <v>0.55</v>
      </c>
      <c r="R17" s="11" t="n">
        <v>0.35</v>
      </c>
      <c r="S17" s="11" t="n">
        <v>0.6</v>
      </c>
      <c r="T17" s="11" t="n">
        <v>0.3</v>
      </c>
      <c r="U17" s="11" t="n">
        <v>0.35</v>
      </c>
      <c r="V17" s="11" t="n">
        <v>0.3</v>
      </c>
      <c r="W17" s="11" t="n">
        <v>0.6</v>
      </c>
      <c r="X17" s="11" t="n">
        <v>0.3</v>
      </c>
      <c r="Y17" s="7" t="n">
        <v>3</v>
      </c>
      <c r="Z17" s="7" t="n">
        <v>0</v>
      </c>
      <c r="AA17" s="7" t="s">
        <v>1028</v>
      </c>
      <c r="AB17" s="7" t="s">
        <v>1079</v>
      </c>
      <c r="AC17" s="7" t="n">
        <v>10</v>
      </c>
      <c r="AD17" s="7" t="n">
        <v>0.7</v>
      </c>
      <c r="AE17" s="7" t="s">
        <v>1043</v>
      </c>
      <c r="AF17" s="7" t="s">
        <v>1070</v>
      </c>
      <c r="AG17" s="7" t="s">
        <v>1110</v>
      </c>
    </row>
    <row r="18" customFormat="false" ht="15" hidden="false" customHeight="false" outlineLevel="0" collapsed="false">
      <c r="A18" s="7" t="s">
        <v>126</v>
      </c>
      <c r="B18" s="7" t="s">
        <v>125</v>
      </c>
      <c r="C18" s="7" t="s">
        <v>1021</v>
      </c>
      <c r="D18" s="7" t="s">
        <v>1094</v>
      </c>
      <c r="E18" s="7" t="s">
        <v>1023</v>
      </c>
      <c r="F18" s="7" t="n">
        <v>0.12</v>
      </c>
      <c r="G18" s="48" t="s">
        <v>1111</v>
      </c>
      <c r="H18" s="49" t="s">
        <v>1112</v>
      </c>
      <c r="I18" s="17" t="s">
        <v>1113</v>
      </c>
      <c r="J18" s="7" t="n">
        <v>70</v>
      </c>
      <c r="K18" s="7" t="n">
        <v>120</v>
      </c>
      <c r="L18" s="7" t="n">
        <v>260</v>
      </c>
      <c r="M18" s="7" t="n">
        <v>200</v>
      </c>
      <c r="N18" s="7" t="n">
        <v>330</v>
      </c>
      <c r="O18" s="7" t="s">
        <v>1094</v>
      </c>
      <c r="P18" s="7"/>
      <c r="Q18" s="11" t="n">
        <v>1</v>
      </c>
      <c r="R18" s="11" t="n">
        <v>0.35</v>
      </c>
      <c r="S18" s="11" t="n">
        <v>0.5</v>
      </c>
      <c r="T18" s="11" t="n">
        <v>0.3</v>
      </c>
      <c r="U18" s="11" t="n">
        <v>0.4</v>
      </c>
      <c r="V18" s="11" t="n">
        <v>0.3</v>
      </c>
      <c r="W18" s="11" t="n">
        <v>0.4</v>
      </c>
      <c r="X18" s="11" t="n">
        <v>0.35</v>
      </c>
      <c r="Y18" s="7" t="n">
        <v>3</v>
      </c>
      <c r="Z18" s="7" t="n">
        <v>0</v>
      </c>
      <c r="AA18" s="7" t="s">
        <v>1028</v>
      </c>
      <c r="AB18" s="7" t="s">
        <v>1079</v>
      </c>
      <c r="AC18" s="7" t="n">
        <v>8</v>
      </c>
      <c r="AD18" s="7" t="n">
        <v>0.8</v>
      </c>
      <c r="AE18" s="7" t="s">
        <v>1043</v>
      </c>
      <c r="AF18" s="7" t="s">
        <v>1050</v>
      </c>
      <c r="AG18" s="7" t="s">
        <v>1114</v>
      </c>
    </row>
    <row r="19" customFormat="false" ht="15" hidden="false" customHeight="false" outlineLevel="0" collapsed="false">
      <c r="A19" s="7" t="s">
        <v>449</v>
      </c>
      <c r="B19" s="7" t="s">
        <v>448</v>
      </c>
      <c r="C19" s="7" t="s">
        <v>1021</v>
      </c>
      <c r="D19" s="7" t="s">
        <v>1115</v>
      </c>
      <c r="E19" s="7" t="s">
        <v>1023</v>
      </c>
      <c r="F19" s="7" t="n">
        <v>0.4</v>
      </c>
      <c r="G19" s="32" t="s">
        <v>1116</v>
      </c>
      <c r="H19" s="50" t="s">
        <v>1117</v>
      </c>
      <c r="I19" s="16" t="s">
        <v>1083</v>
      </c>
      <c r="J19" s="7" t="n">
        <v>30</v>
      </c>
      <c r="K19" s="7" t="n">
        <v>125</v>
      </c>
      <c r="L19" s="7" t="n">
        <v>160</v>
      </c>
      <c r="M19" s="7" t="n">
        <v>165</v>
      </c>
      <c r="N19" s="7" t="n">
        <v>180</v>
      </c>
      <c r="O19" s="7" t="s">
        <v>1057</v>
      </c>
      <c r="P19" s="7"/>
      <c r="Q19" s="11" t="n">
        <v>0.9</v>
      </c>
      <c r="R19" s="11" t="n">
        <v>0.4</v>
      </c>
      <c r="S19" s="11" t="n">
        <v>0.5</v>
      </c>
      <c r="T19" s="11" t="n">
        <v>0.3</v>
      </c>
      <c r="U19" s="11" t="n">
        <v>0.35</v>
      </c>
      <c r="V19" s="11" t="n">
        <v>0.3</v>
      </c>
      <c r="W19" s="11" t="n">
        <v>0.5</v>
      </c>
      <c r="X19" s="11" t="n">
        <v>0.3</v>
      </c>
      <c r="Y19" s="7" t="n">
        <v>3</v>
      </c>
      <c r="Z19" s="7" t="n">
        <v>1</v>
      </c>
      <c r="AA19" s="7" t="s">
        <v>1058</v>
      </c>
      <c r="AB19" s="7" t="s">
        <v>1059</v>
      </c>
      <c r="AC19" s="7" t="n">
        <v>6</v>
      </c>
      <c r="AD19" s="7" t="n">
        <v>0.5</v>
      </c>
      <c r="AE19" s="7" t="s">
        <v>1043</v>
      </c>
      <c r="AF19" s="7" t="s">
        <v>1050</v>
      </c>
      <c r="AG19" s="7" t="s">
        <v>1118</v>
      </c>
    </row>
    <row r="20" customFormat="false" ht="15" hidden="false" customHeight="false" outlineLevel="0" collapsed="false">
      <c r="A20" s="7" t="s">
        <v>815</v>
      </c>
      <c r="B20" s="7" t="s">
        <v>814</v>
      </c>
      <c r="C20" s="7" t="s">
        <v>1021</v>
      </c>
      <c r="D20" s="7" t="s">
        <v>1094</v>
      </c>
      <c r="E20" s="7" t="s">
        <v>1053</v>
      </c>
      <c r="F20" s="7" t="n">
        <v>0.08</v>
      </c>
      <c r="G20" s="19" t="s">
        <v>1119</v>
      </c>
      <c r="H20" s="51" t="s">
        <v>1120</v>
      </c>
      <c r="I20" s="21" t="s">
        <v>1056</v>
      </c>
      <c r="J20" s="7" t="n">
        <v>150</v>
      </c>
      <c r="K20" s="7" t="n">
        <v>180</v>
      </c>
      <c r="L20" s="7" t="n">
        <v>260</v>
      </c>
      <c r="M20" s="7" t="n">
        <v>220</v>
      </c>
      <c r="N20" s="7" t="n">
        <v>285</v>
      </c>
      <c r="O20" s="7" t="s">
        <v>1057</v>
      </c>
      <c r="P20" s="7"/>
      <c r="Q20" s="11" t="n">
        <v>1</v>
      </c>
      <c r="R20" s="11" t="n">
        <v>0.3</v>
      </c>
      <c r="S20" s="11" t="n">
        <v>0.3</v>
      </c>
      <c r="T20" s="11" t="n">
        <v>0.3</v>
      </c>
      <c r="U20" s="11" t="n">
        <v>0.8</v>
      </c>
      <c r="V20" s="11" t="n">
        <v>0.3</v>
      </c>
      <c r="W20" s="11" t="n">
        <v>0.55</v>
      </c>
      <c r="X20" s="11" t="n">
        <v>0.35</v>
      </c>
      <c r="Y20" s="7" t="n">
        <v>3</v>
      </c>
      <c r="Z20" s="7" t="n">
        <v>0</v>
      </c>
      <c r="AA20" s="7" t="s">
        <v>1028</v>
      </c>
      <c r="AB20" s="7" t="s">
        <v>1059</v>
      </c>
      <c r="AC20" s="7" t="n">
        <v>3</v>
      </c>
      <c r="AD20" s="7" t="n">
        <v>0.45</v>
      </c>
      <c r="AE20" s="7" t="s">
        <v>1030</v>
      </c>
      <c r="AF20" s="7" t="s">
        <v>1031</v>
      </c>
      <c r="AG20" s="7" t="s">
        <v>1121</v>
      </c>
    </row>
    <row r="21" customFormat="false" ht="15" hidden="false" customHeight="false" outlineLevel="0" collapsed="false">
      <c r="A21" s="7" t="s">
        <v>804</v>
      </c>
      <c r="B21" s="7" t="s">
        <v>803</v>
      </c>
      <c r="C21" s="7" t="s">
        <v>1021</v>
      </c>
      <c r="D21" s="7" t="s">
        <v>1094</v>
      </c>
      <c r="E21" s="7" t="s">
        <v>1053</v>
      </c>
      <c r="F21" s="7" t="n">
        <v>0.12</v>
      </c>
      <c r="G21" s="38" t="s">
        <v>1122</v>
      </c>
      <c r="H21" s="52" t="s">
        <v>1123</v>
      </c>
      <c r="I21" s="16" t="s">
        <v>1083</v>
      </c>
      <c r="J21" s="7" t="n">
        <v>80</v>
      </c>
      <c r="K21" s="7" t="n">
        <v>130</v>
      </c>
      <c r="L21" s="7" t="n">
        <v>220</v>
      </c>
      <c r="M21" s="7" t="n">
        <v>180</v>
      </c>
      <c r="N21" s="7" t="n">
        <v>240</v>
      </c>
      <c r="O21" s="7" t="s">
        <v>1057</v>
      </c>
      <c r="P21" s="7"/>
      <c r="Q21" s="11" t="n">
        <v>1</v>
      </c>
      <c r="R21" s="11" t="n">
        <v>0.3</v>
      </c>
      <c r="S21" s="11" t="n">
        <v>0.4</v>
      </c>
      <c r="T21" s="11" t="n">
        <v>0.3</v>
      </c>
      <c r="U21" s="11" t="n">
        <v>0.9</v>
      </c>
      <c r="V21" s="11" t="n">
        <v>0.25</v>
      </c>
      <c r="W21" s="11" t="n">
        <v>0.45</v>
      </c>
      <c r="X21" s="11" t="n">
        <v>0.35</v>
      </c>
      <c r="Y21" s="7" t="n">
        <v>3</v>
      </c>
      <c r="Z21" s="7" t="n">
        <v>0</v>
      </c>
      <c r="AA21" s="7" t="s">
        <v>1028</v>
      </c>
      <c r="AB21" s="7" t="s">
        <v>1059</v>
      </c>
      <c r="AC21" s="7" t="n">
        <v>3</v>
      </c>
      <c r="AD21" s="7" t="n">
        <v>0.45</v>
      </c>
      <c r="AE21" s="7" t="s">
        <v>1030</v>
      </c>
      <c r="AF21" s="7" t="s">
        <v>1031</v>
      </c>
      <c r="AG21" s="7" t="s">
        <v>1124</v>
      </c>
    </row>
    <row r="22" customFormat="false" ht="15" hidden="false" customHeight="false" outlineLevel="0" collapsed="false">
      <c r="A22" s="7" t="s">
        <v>100</v>
      </c>
      <c r="B22" s="7" t="s">
        <v>99</v>
      </c>
      <c r="C22" s="7" t="s">
        <v>1021</v>
      </c>
      <c r="D22" s="7" t="s">
        <v>1052</v>
      </c>
      <c r="E22" s="7" t="s">
        <v>1023</v>
      </c>
      <c r="F22" s="7" t="n">
        <v>0.2</v>
      </c>
      <c r="G22" s="53" t="s">
        <v>1125</v>
      </c>
      <c r="H22" s="51" t="s">
        <v>1120</v>
      </c>
      <c r="I22" s="54" t="s">
        <v>1126</v>
      </c>
      <c r="J22" s="7" t="n">
        <v>100</v>
      </c>
      <c r="K22" s="7" t="n">
        <v>140</v>
      </c>
      <c r="L22" s="7" t="n">
        <v>290</v>
      </c>
      <c r="M22" s="7" t="n">
        <v>180</v>
      </c>
      <c r="N22" s="7" t="n">
        <v>300</v>
      </c>
      <c r="O22" s="7" t="s">
        <v>1057</v>
      </c>
      <c r="P22" s="7"/>
      <c r="Q22" s="11" t="n">
        <v>0.75</v>
      </c>
      <c r="R22" s="11" t="n">
        <v>0.35</v>
      </c>
      <c r="S22" s="11" t="n">
        <v>0.5</v>
      </c>
      <c r="T22" s="11" t="n">
        <v>0.3</v>
      </c>
      <c r="U22" s="11" t="n">
        <v>0.55</v>
      </c>
      <c r="V22" s="11" t="n">
        <v>0.35</v>
      </c>
      <c r="W22" s="11" t="n">
        <v>0.55</v>
      </c>
      <c r="X22" s="11" t="n">
        <v>0.3</v>
      </c>
      <c r="Y22" s="7" t="n">
        <v>2</v>
      </c>
      <c r="Z22" s="7" t="n">
        <v>0</v>
      </c>
      <c r="AA22" s="7" t="s">
        <v>1058</v>
      </c>
      <c r="AB22" s="7" t="s">
        <v>1092</v>
      </c>
      <c r="AC22" s="7" t="n">
        <v>4</v>
      </c>
      <c r="AD22" s="7" t="n">
        <v>0.5</v>
      </c>
      <c r="AE22" s="7" t="s">
        <v>1043</v>
      </c>
      <c r="AF22" s="7" t="s">
        <v>1031</v>
      </c>
      <c r="AG22" s="7" t="s">
        <v>1127</v>
      </c>
    </row>
    <row r="23" customFormat="false" ht="15" hidden="false" customHeight="false" outlineLevel="0" collapsed="false">
      <c r="A23" s="7" t="s">
        <v>960</v>
      </c>
      <c r="B23" s="7" t="s">
        <v>959</v>
      </c>
      <c r="C23" s="7" t="s">
        <v>1021</v>
      </c>
      <c r="D23" s="7" t="s">
        <v>1027</v>
      </c>
      <c r="E23" s="7" t="s">
        <v>1023</v>
      </c>
      <c r="F23" s="7" t="n">
        <v>0.15</v>
      </c>
      <c r="G23" s="55" t="s">
        <v>1128</v>
      </c>
      <c r="H23" s="16" t="s">
        <v>1083</v>
      </c>
      <c r="I23" s="34" t="s">
        <v>1087</v>
      </c>
      <c r="J23" s="7" t="n">
        <v>80</v>
      </c>
      <c r="K23" s="7" t="n">
        <v>160</v>
      </c>
      <c r="L23" s="7" t="n">
        <v>260</v>
      </c>
      <c r="M23" s="7" t="n">
        <v>230</v>
      </c>
      <c r="N23" s="7" t="n">
        <v>320</v>
      </c>
      <c r="O23" s="7" t="s">
        <v>1027</v>
      </c>
      <c r="P23" s="7"/>
      <c r="Q23" s="11" t="n">
        <v>0.95</v>
      </c>
      <c r="R23" s="11" t="n">
        <v>0.35</v>
      </c>
      <c r="S23" s="11" t="n">
        <v>0.5</v>
      </c>
      <c r="T23" s="11" t="n">
        <v>0.3</v>
      </c>
      <c r="U23" s="11" t="n">
        <v>0.7</v>
      </c>
      <c r="V23" s="11" t="n">
        <v>0.3</v>
      </c>
      <c r="W23" s="11" t="n">
        <v>0.55</v>
      </c>
      <c r="X23" s="11" t="n">
        <v>0.3</v>
      </c>
      <c r="Y23" s="7" t="n">
        <v>3</v>
      </c>
      <c r="Z23" s="7" t="n">
        <v>0</v>
      </c>
      <c r="AA23" s="7" t="s">
        <v>1028</v>
      </c>
      <c r="AB23" s="7" t="s">
        <v>1065</v>
      </c>
      <c r="AC23" s="7" t="n">
        <v>4</v>
      </c>
      <c r="AD23" s="7" t="n">
        <v>0.8</v>
      </c>
      <c r="AE23" s="7" t="s">
        <v>1030</v>
      </c>
      <c r="AF23" s="7" t="s">
        <v>1070</v>
      </c>
      <c r="AG23" s="7" t="s">
        <v>1129</v>
      </c>
    </row>
    <row r="24" customFormat="false" ht="15" hidden="false" customHeight="false" outlineLevel="0" collapsed="false">
      <c r="A24" s="7" t="s">
        <v>965</v>
      </c>
      <c r="B24" s="7" t="s">
        <v>964</v>
      </c>
      <c r="C24" s="7" t="s">
        <v>1021</v>
      </c>
      <c r="D24" s="7" t="s">
        <v>1130</v>
      </c>
      <c r="E24" s="7" t="s">
        <v>1023</v>
      </c>
      <c r="F24" s="7" t="n">
        <v>0.25</v>
      </c>
      <c r="G24" s="56" t="s">
        <v>1131</v>
      </c>
      <c r="H24" s="57" t="s">
        <v>1132</v>
      </c>
      <c r="I24" s="41" t="s">
        <v>1133</v>
      </c>
      <c r="J24" s="7" t="n">
        <v>60</v>
      </c>
      <c r="K24" s="7" t="n">
        <v>130</v>
      </c>
      <c r="L24" s="7" t="n">
        <v>160</v>
      </c>
      <c r="M24" s="7" t="n">
        <v>170</v>
      </c>
      <c r="N24" s="7" t="n">
        <v>345</v>
      </c>
      <c r="O24" s="7" t="s">
        <v>1134</v>
      </c>
      <c r="P24" s="7"/>
      <c r="Q24" s="11" t="n">
        <v>0.85</v>
      </c>
      <c r="R24" s="11" t="n">
        <v>0.4</v>
      </c>
      <c r="S24" s="11" t="n">
        <v>0.5</v>
      </c>
      <c r="T24" s="11" t="n">
        <v>0.3</v>
      </c>
      <c r="U24" s="11" t="n">
        <v>0.35</v>
      </c>
      <c r="V24" s="11" t="n">
        <v>0.3</v>
      </c>
      <c r="W24" s="11" t="n">
        <v>0.55</v>
      </c>
      <c r="X24" s="11" t="n">
        <v>0.35</v>
      </c>
      <c r="Y24" s="7" t="n">
        <v>3</v>
      </c>
      <c r="Z24" s="7" t="n">
        <v>0</v>
      </c>
      <c r="AA24" s="7" t="s">
        <v>1028</v>
      </c>
      <c r="AB24" s="7" t="s">
        <v>1059</v>
      </c>
      <c r="AC24" s="7" t="n">
        <v>20</v>
      </c>
      <c r="AD24" s="7" t="n">
        <v>1</v>
      </c>
      <c r="AE24" s="7" t="s">
        <v>1043</v>
      </c>
      <c r="AF24" s="7" t="s">
        <v>1060</v>
      </c>
      <c r="AG24" s="7" t="s">
        <v>1135</v>
      </c>
    </row>
    <row r="25" customFormat="false" ht="15" hidden="false" customHeight="false" outlineLevel="0" collapsed="false">
      <c r="A25" s="7" t="s">
        <v>44</v>
      </c>
      <c r="B25" s="7" t="s">
        <v>43</v>
      </c>
      <c r="C25" s="7" t="s">
        <v>1021</v>
      </c>
      <c r="D25" s="7" t="s">
        <v>1022</v>
      </c>
      <c r="E25" s="7" t="s">
        <v>1053</v>
      </c>
      <c r="F25" s="7" t="n">
        <v>1.2</v>
      </c>
      <c r="G25" s="58" t="s">
        <v>1136</v>
      </c>
      <c r="H25" s="59" t="s">
        <v>1137</v>
      </c>
      <c r="I25" s="21" t="s">
        <v>1056</v>
      </c>
      <c r="J25" s="7" t="n">
        <v>110</v>
      </c>
      <c r="K25" s="7" t="n">
        <v>190</v>
      </c>
      <c r="L25" s="7" t="n">
        <v>260</v>
      </c>
      <c r="M25" s="7" t="n">
        <v>250</v>
      </c>
      <c r="N25" s="7" t="n">
        <v>290</v>
      </c>
      <c r="O25" s="7" t="s">
        <v>1057</v>
      </c>
      <c r="P25" s="7"/>
      <c r="Q25" s="11" t="n">
        <v>1</v>
      </c>
      <c r="R25" s="11" t="n">
        <v>0.35</v>
      </c>
      <c r="S25" s="11" t="n">
        <v>0.5</v>
      </c>
      <c r="T25" s="11" t="n">
        <v>0.3</v>
      </c>
      <c r="U25" s="11" t="n">
        <v>0.8</v>
      </c>
      <c r="V25" s="11" t="n">
        <v>0.3</v>
      </c>
      <c r="W25" s="11" t="n">
        <v>0.85</v>
      </c>
      <c r="X25" s="11" t="n">
        <v>0.25</v>
      </c>
      <c r="Y25" s="7" t="n">
        <v>1</v>
      </c>
      <c r="Z25" s="7" t="n">
        <v>0</v>
      </c>
      <c r="AA25" s="7" t="s">
        <v>1028</v>
      </c>
      <c r="AB25" s="7" t="s">
        <v>1059</v>
      </c>
      <c r="AC25" s="7" t="n">
        <v>5</v>
      </c>
      <c r="AD25" s="7" t="n">
        <v>0.7</v>
      </c>
      <c r="AE25" s="7" t="s">
        <v>1043</v>
      </c>
      <c r="AF25" s="7" t="s">
        <v>1060</v>
      </c>
      <c r="AG25" s="7" t="s">
        <v>1138</v>
      </c>
    </row>
    <row r="26" customFormat="false" ht="15" hidden="false" customHeight="false" outlineLevel="0" collapsed="false">
      <c r="A26" s="7" t="s">
        <v>820</v>
      </c>
      <c r="B26" s="7" t="s">
        <v>819</v>
      </c>
      <c r="C26" s="7" t="s">
        <v>1021</v>
      </c>
      <c r="D26" s="7" t="s">
        <v>1052</v>
      </c>
      <c r="E26" s="7" t="s">
        <v>1053</v>
      </c>
      <c r="F26" s="7" t="n">
        <v>0.9</v>
      </c>
      <c r="G26" s="19" t="s">
        <v>1119</v>
      </c>
      <c r="H26" s="60" t="s">
        <v>1139</v>
      </c>
      <c r="I26" s="21" t="s">
        <v>1056</v>
      </c>
      <c r="J26" s="7" t="n">
        <v>140</v>
      </c>
      <c r="K26" s="7" t="n">
        <v>200</v>
      </c>
      <c r="L26" s="7" t="n">
        <v>260</v>
      </c>
      <c r="M26" s="7" t="n">
        <v>250</v>
      </c>
      <c r="N26" s="7" t="n">
        <v>290</v>
      </c>
      <c r="O26" s="7" t="s">
        <v>1057</v>
      </c>
      <c r="P26" s="7"/>
      <c r="Q26" s="11" t="n">
        <v>1</v>
      </c>
      <c r="R26" s="11" t="n">
        <v>0.3</v>
      </c>
      <c r="S26" s="11" t="n">
        <v>0.45</v>
      </c>
      <c r="T26" s="11" t="n">
        <v>0.3</v>
      </c>
      <c r="U26" s="11" t="n">
        <v>0.85</v>
      </c>
      <c r="V26" s="11" t="n">
        <v>0.25</v>
      </c>
      <c r="W26" s="11" t="n">
        <v>0.8</v>
      </c>
      <c r="X26" s="11" t="n">
        <v>0.25</v>
      </c>
      <c r="Y26" s="7" t="n">
        <v>1</v>
      </c>
      <c r="Z26" s="7" t="n">
        <v>0</v>
      </c>
      <c r="AA26" s="7" t="s">
        <v>1058</v>
      </c>
      <c r="AB26" s="7" t="s">
        <v>1059</v>
      </c>
      <c r="AC26" s="7" t="n">
        <v>5</v>
      </c>
      <c r="AD26" s="7" t="n">
        <v>0.55</v>
      </c>
      <c r="AE26" s="7" t="s">
        <v>1043</v>
      </c>
      <c r="AF26" s="7" t="s">
        <v>1060</v>
      </c>
      <c r="AG26" s="7" t="s">
        <v>1140</v>
      </c>
    </row>
    <row r="27" customFormat="false" ht="15" hidden="false" customHeight="false" outlineLevel="0" collapsed="false">
      <c r="A27" s="7" t="s">
        <v>279</v>
      </c>
      <c r="B27" s="7" t="s">
        <v>278</v>
      </c>
      <c r="C27" s="7" t="s">
        <v>1021</v>
      </c>
      <c r="D27" s="7" t="s">
        <v>1022</v>
      </c>
      <c r="E27" s="7" t="s">
        <v>1034</v>
      </c>
      <c r="F27" s="7" t="n">
        <v>1.4</v>
      </c>
      <c r="G27" s="55" t="s">
        <v>1141</v>
      </c>
      <c r="H27" s="61" t="s">
        <v>1142</v>
      </c>
      <c r="I27" s="62" t="s">
        <v>1143</v>
      </c>
      <c r="J27" s="7" t="n">
        <v>80</v>
      </c>
      <c r="K27" s="7" t="n">
        <v>200</v>
      </c>
      <c r="L27" s="7" t="n">
        <v>250</v>
      </c>
      <c r="M27" s="7" t="n">
        <v>255</v>
      </c>
      <c r="N27" s="7" t="n">
        <v>290</v>
      </c>
      <c r="O27" s="7" t="s">
        <v>1048</v>
      </c>
      <c r="P27" s="7"/>
      <c r="Q27" s="11" t="n">
        <v>0.75</v>
      </c>
      <c r="R27" s="11" t="n">
        <v>0.4</v>
      </c>
      <c r="S27" s="11" t="n">
        <v>0.55</v>
      </c>
      <c r="T27" s="11" t="n">
        <v>0.3</v>
      </c>
      <c r="U27" s="11" t="n">
        <v>0.55</v>
      </c>
      <c r="V27" s="11" t="n">
        <v>0.35</v>
      </c>
      <c r="W27" s="11" t="n">
        <v>0.8</v>
      </c>
      <c r="X27" s="11" t="n">
        <v>0.25</v>
      </c>
      <c r="Y27" s="7" t="n">
        <v>1</v>
      </c>
      <c r="Z27" s="7" t="n">
        <v>0</v>
      </c>
      <c r="AA27" s="7" t="s">
        <v>1028</v>
      </c>
      <c r="AB27" s="7" t="s">
        <v>1065</v>
      </c>
      <c r="AC27" s="7" t="n">
        <v>6</v>
      </c>
      <c r="AD27" s="7" t="n">
        <v>0.5</v>
      </c>
      <c r="AE27" s="7" t="s">
        <v>1043</v>
      </c>
      <c r="AF27" s="7" t="s">
        <v>1050</v>
      </c>
      <c r="AG27" s="7" t="s">
        <v>1144</v>
      </c>
    </row>
    <row r="28" customFormat="false" ht="15" hidden="false" customHeight="false" outlineLevel="0" collapsed="false">
      <c r="A28" s="7" t="s">
        <v>288</v>
      </c>
      <c r="B28" s="7" t="s">
        <v>1145</v>
      </c>
      <c r="C28" s="7" t="s">
        <v>1021</v>
      </c>
      <c r="D28" s="7" t="s">
        <v>1022</v>
      </c>
      <c r="E28" s="7" t="s">
        <v>1023</v>
      </c>
      <c r="F28" s="7" t="n">
        <v>2.2</v>
      </c>
      <c r="G28" s="55" t="s">
        <v>1146</v>
      </c>
      <c r="H28" s="63" t="s">
        <v>1147</v>
      </c>
      <c r="I28" s="64" t="s">
        <v>1148</v>
      </c>
      <c r="J28" s="7" t="n">
        <v>120</v>
      </c>
      <c r="K28" s="7" t="n">
        <v>175</v>
      </c>
      <c r="L28" s="7" t="n">
        <v>260</v>
      </c>
      <c r="M28" s="7" t="n">
        <v>230</v>
      </c>
      <c r="N28" s="7" t="n">
        <v>295</v>
      </c>
      <c r="O28" s="7" t="s">
        <v>1048</v>
      </c>
      <c r="P28" s="7"/>
      <c r="Q28" s="11" t="n">
        <v>0.8</v>
      </c>
      <c r="R28" s="11" t="n">
        <v>0.4</v>
      </c>
      <c r="S28" s="11" t="n">
        <v>0.55</v>
      </c>
      <c r="T28" s="11" t="n">
        <v>0.3</v>
      </c>
      <c r="U28" s="11" t="n">
        <v>0.5</v>
      </c>
      <c r="V28" s="11" t="n">
        <v>0.35</v>
      </c>
      <c r="W28" s="11" t="n">
        <v>0.7</v>
      </c>
      <c r="X28" s="11" t="n">
        <v>0.3</v>
      </c>
      <c r="Y28" s="7" t="n">
        <v>0</v>
      </c>
      <c r="Z28" s="7" t="n">
        <v>1</v>
      </c>
      <c r="AA28" s="7" t="s">
        <v>1058</v>
      </c>
      <c r="AB28" s="7" t="s">
        <v>1149</v>
      </c>
      <c r="AC28" s="7" t="n">
        <v>6</v>
      </c>
      <c r="AD28" s="7" t="n">
        <v>0.45</v>
      </c>
      <c r="AE28" s="7" t="s">
        <v>1043</v>
      </c>
      <c r="AF28" s="7" t="s">
        <v>1060</v>
      </c>
      <c r="AG28" s="7" t="s">
        <v>1150</v>
      </c>
    </row>
    <row r="29" customFormat="false" ht="15" hidden="false" customHeight="false" outlineLevel="0" collapsed="false">
      <c r="A29" s="7" t="s">
        <v>337</v>
      </c>
      <c r="B29" s="7" t="s">
        <v>336</v>
      </c>
      <c r="C29" s="7" t="s">
        <v>1021</v>
      </c>
      <c r="D29" s="7" t="s">
        <v>1022</v>
      </c>
      <c r="E29" s="7" t="s">
        <v>1053</v>
      </c>
      <c r="F29" s="7" t="n">
        <v>1</v>
      </c>
      <c r="G29" s="65" t="s">
        <v>1151</v>
      </c>
      <c r="H29" s="66" t="s">
        <v>1152</v>
      </c>
      <c r="I29" s="67" t="s">
        <v>1153</v>
      </c>
      <c r="J29" s="7" t="n">
        <v>150</v>
      </c>
      <c r="K29" s="7" t="n">
        <v>185</v>
      </c>
      <c r="L29" s="7" t="n">
        <v>275</v>
      </c>
      <c r="M29" s="7" t="n">
        <v>260</v>
      </c>
      <c r="N29" s="7" t="n">
        <v>290</v>
      </c>
      <c r="O29" s="7" t="s">
        <v>1048</v>
      </c>
      <c r="P29" s="7"/>
      <c r="Q29" s="11" t="n">
        <v>1</v>
      </c>
      <c r="R29" s="11" t="n">
        <v>0.3</v>
      </c>
      <c r="S29" s="11" t="n">
        <v>0.45</v>
      </c>
      <c r="T29" s="11" t="n">
        <v>0.3</v>
      </c>
      <c r="U29" s="11" t="n">
        <v>0.85</v>
      </c>
      <c r="V29" s="11" t="n">
        <v>0.25</v>
      </c>
      <c r="W29" s="11" t="n">
        <v>0.85</v>
      </c>
      <c r="X29" s="11" t="n">
        <v>0.25</v>
      </c>
      <c r="Y29" s="7" t="n">
        <v>0</v>
      </c>
      <c r="Z29" s="7" t="n">
        <v>0</v>
      </c>
      <c r="AA29" s="7" t="s">
        <v>1028</v>
      </c>
      <c r="AB29" s="7" t="s">
        <v>1059</v>
      </c>
      <c r="AC29" s="7" t="n">
        <v>4</v>
      </c>
      <c r="AD29" s="7" t="n">
        <v>0.35</v>
      </c>
      <c r="AE29" s="7" t="s">
        <v>1043</v>
      </c>
      <c r="AF29" s="7" t="s">
        <v>1154</v>
      </c>
      <c r="AG29" s="7" t="s">
        <v>1155</v>
      </c>
    </row>
    <row r="30" customFormat="false" ht="15" hidden="false" customHeight="false" outlineLevel="0" collapsed="false">
      <c r="A30" s="7" t="s">
        <v>269</v>
      </c>
      <c r="B30" s="7" t="s">
        <v>268</v>
      </c>
      <c r="C30" s="7" t="s">
        <v>1021</v>
      </c>
      <c r="D30" s="7" t="s">
        <v>1022</v>
      </c>
      <c r="E30" s="7" t="s">
        <v>1023</v>
      </c>
      <c r="F30" s="7" t="n">
        <v>1.2</v>
      </c>
      <c r="G30" s="68" t="s">
        <v>1156</v>
      </c>
      <c r="H30" s="69" t="s">
        <v>1157</v>
      </c>
      <c r="I30" s="70" t="s">
        <v>1158</v>
      </c>
      <c r="J30" s="7" t="n">
        <v>75</v>
      </c>
      <c r="K30" s="7" t="n">
        <v>165</v>
      </c>
      <c r="L30" s="7" t="n">
        <v>240</v>
      </c>
      <c r="M30" s="7" t="n">
        <v>240</v>
      </c>
      <c r="N30" s="7" t="n">
        <v>300</v>
      </c>
      <c r="O30" s="7" t="s">
        <v>1057</v>
      </c>
      <c r="P30" s="7"/>
      <c r="Q30" s="11" t="n">
        <v>0.65</v>
      </c>
      <c r="R30" s="11" t="n">
        <v>0.4</v>
      </c>
      <c r="S30" s="11" t="n">
        <v>0.65</v>
      </c>
      <c r="T30" s="11" t="n">
        <v>0.3</v>
      </c>
      <c r="U30" s="11" t="n">
        <v>0.4</v>
      </c>
      <c r="V30" s="11" t="n">
        <v>0.3</v>
      </c>
      <c r="W30" s="11" t="n">
        <v>0.9</v>
      </c>
      <c r="X30" s="11" t="n">
        <v>0.2</v>
      </c>
      <c r="Y30" s="7" t="n">
        <v>0</v>
      </c>
      <c r="Z30" s="7" t="n">
        <v>1</v>
      </c>
      <c r="AA30" s="7" t="s">
        <v>1058</v>
      </c>
      <c r="AB30" s="7" t="s">
        <v>1079</v>
      </c>
      <c r="AC30" s="7" t="n">
        <v>8</v>
      </c>
      <c r="AD30" s="7" t="n">
        <v>0.55</v>
      </c>
      <c r="AE30" s="7" t="s">
        <v>1043</v>
      </c>
      <c r="AF30" s="7" t="s">
        <v>1060</v>
      </c>
      <c r="AG30" s="7" t="s">
        <v>1159</v>
      </c>
    </row>
    <row r="31" customFormat="false" ht="15" hidden="false" customHeight="false" outlineLevel="0" collapsed="false">
      <c r="A31" s="7" t="s">
        <v>540</v>
      </c>
      <c r="B31" s="7" t="s">
        <v>539</v>
      </c>
      <c r="C31" s="7" t="s">
        <v>1021</v>
      </c>
      <c r="D31" s="7" t="s">
        <v>1052</v>
      </c>
      <c r="E31" s="7" t="s">
        <v>1023</v>
      </c>
      <c r="F31" s="7" t="n">
        <v>0.8</v>
      </c>
      <c r="G31" s="58" t="s">
        <v>1160</v>
      </c>
      <c r="H31" s="71" t="s">
        <v>1161</v>
      </c>
      <c r="I31" s="72" t="s">
        <v>1162</v>
      </c>
      <c r="J31" s="7" t="n">
        <v>85</v>
      </c>
      <c r="K31" s="7" t="n">
        <v>160</v>
      </c>
      <c r="L31" s="7" t="n">
        <v>250</v>
      </c>
      <c r="M31" s="7" t="n">
        <v>240</v>
      </c>
      <c r="N31" s="7" t="n">
        <v>310</v>
      </c>
      <c r="O31" s="7" t="s">
        <v>1048</v>
      </c>
      <c r="P31" s="7"/>
      <c r="Q31" s="11" t="n">
        <v>0.8</v>
      </c>
      <c r="R31" s="11" t="n">
        <v>0.4</v>
      </c>
      <c r="S31" s="11" t="n">
        <v>0.45</v>
      </c>
      <c r="T31" s="11" t="n">
        <v>0.3</v>
      </c>
      <c r="U31" s="11" t="n">
        <v>0.5</v>
      </c>
      <c r="V31" s="11" t="n">
        <v>0.35</v>
      </c>
      <c r="W31" s="11" t="n">
        <v>0.7</v>
      </c>
      <c r="X31" s="11" t="n">
        <v>0.3</v>
      </c>
      <c r="Y31" s="7" t="n">
        <v>1</v>
      </c>
      <c r="Z31" s="7" t="n">
        <v>0</v>
      </c>
      <c r="AA31" s="7" t="s">
        <v>1028</v>
      </c>
      <c r="AB31" s="7" t="s">
        <v>1059</v>
      </c>
      <c r="AC31" s="7" t="n">
        <v>4</v>
      </c>
      <c r="AD31" s="7" t="n">
        <v>0.35</v>
      </c>
      <c r="AE31" s="7" t="s">
        <v>1043</v>
      </c>
      <c r="AF31" s="7" t="s">
        <v>1070</v>
      </c>
      <c r="AG31" s="7" t="s">
        <v>1163</v>
      </c>
    </row>
    <row r="32" customFormat="false" ht="15" hidden="false" customHeight="false" outlineLevel="0" collapsed="false">
      <c r="A32" s="7" t="s">
        <v>547</v>
      </c>
      <c r="B32" s="7" t="s">
        <v>546</v>
      </c>
      <c r="C32" s="7" t="s">
        <v>1021</v>
      </c>
      <c r="D32" s="7" t="s">
        <v>1022</v>
      </c>
      <c r="E32" s="7" t="s">
        <v>1023</v>
      </c>
      <c r="F32" s="7" t="n">
        <v>1.1</v>
      </c>
      <c r="G32" s="73" t="s">
        <v>1164</v>
      </c>
      <c r="H32" s="74" t="s">
        <v>1165</v>
      </c>
      <c r="I32" s="70" t="s">
        <v>1158</v>
      </c>
      <c r="J32" s="7" t="n">
        <v>70</v>
      </c>
      <c r="K32" s="7" t="n">
        <v>165</v>
      </c>
      <c r="L32" s="7" t="n">
        <v>230</v>
      </c>
      <c r="M32" s="7" t="n">
        <v>230</v>
      </c>
      <c r="N32" s="7" t="n">
        <v>300</v>
      </c>
      <c r="O32" s="7" t="s">
        <v>1027</v>
      </c>
      <c r="P32" s="7"/>
      <c r="Q32" s="11" t="n">
        <v>0.7</v>
      </c>
      <c r="R32" s="11" t="n">
        <v>0.4</v>
      </c>
      <c r="S32" s="11" t="n">
        <v>0.5</v>
      </c>
      <c r="T32" s="11" t="n">
        <v>0.3</v>
      </c>
      <c r="U32" s="11" t="n">
        <v>0.45</v>
      </c>
      <c r="V32" s="11" t="n">
        <v>0.35</v>
      </c>
      <c r="W32" s="11" t="n">
        <v>0.75</v>
      </c>
      <c r="X32" s="11" t="n">
        <v>0.3</v>
      </c>
      <c r="Y32" s="7" t="n">
        <v>0</v>
      </c>
      <c r="Z32" s="7" t="n">
        <v>0</v>
      </c>
      <c r="AA32" s="7" t="s">
        <v>1028</v>
      </c>
      <c r="AB32" s="7" t="s">
        <v>1059</v>
      </c>
      <c r="AC32" s="7" t="n">
        <v>5</v>
      </c>
      <c r="AD32" s="7" t="n">
        <v>0.4</v>
      </c>
      <c r="AE32" s="7" t="s">
        <v>1043</v>
      </c>
      <c r="AF32" s="7" t="s">
        <v>1070</v>
      </c>
      <c r="AG32" s="7" t="s">
        <v>1166</v>
      </c>
    </row>
    <row r="33" customFormat="false" ht="15" hidden="false" customHeight="false" outlineLevel="0" collapsed="false">
      <c r="A33" s="7" t="s">
        <v>724</v>
      </c>
      <c r="B33" s="7" t="s">
        <v>1167</v>
      </c>
      <c r="C33" s="7" t="s">
        <v>1021</v>
      </c>
      <c r="D33" s="7" t="s">
        <v>1052</v>
      </c>
      <c r="E33" s="7" t="s">
        <v>1023</v>
      </c>
      <c r="F33" s="7" t="n">
        <v>0.6</v>
      </c>
      <c r="G33" s="75" t="s">
        <v>1168</v>
      </c>
      <c r="H33" s="76" t="s">
        <v>1169</v>
      </c>
      <c r="I33" s="67" t="s">
        <v>1153</v>
      </c>
      <c r="J33" s="7" t="n">
        <v>90</v>
      </c>
      <c r="K33" s="7" t="n">
        <v>190</v>
      </c>
      <c r="L33" s="7" t="n">
        <v>240</v>
      </c>
      <c r="M33" s="7" t="n">
        <v>240</v>
      </c>
      <c r="N33" s="7" t="n">
        <v>310</v>
      </c>
      <c r="O33" s="7" t="s">
        <v>1057</v>
      </c>
      <c r="P33" s="7"/>
      <c r="Q33" s="11" t="n">
        <v>0.75</v>
      </c>
      <c r="R33" s="11" t="n">
        <v>0.4</v>
      </c>
      <c r="S33" s="11" t="n">
        <v>0.7</v>
      </c>
      <c r="T33" s="11" t="n">
        <v>0.25</v>
      </c>
      <c r="U33" s="11" t="n">
        <v>0.3</v>
      </c>
      <c r="V33" s="11" t="n">
        <v>0.3</v>
      </c>
      <c r="W33" s="11" t="n">
        <v>0.65</v>
      </c>
      <c r="X33" s="11" t="n">
        <v>0.3</v>
      </c>
      <c r="Y33" s="7" t="n">
        <v>1</v>
      </c>
      <c r="Z33" s="7" t="n">
        <v>0</v>
      </c>
      <c r="AA33" s="7" t="s">
        <v>1170</v>
      </c>
      <c r="AB33" s="7" t="s">
        <v>1170</v>
      </c>
      <c r="AC33" s="7" t="n">
        <v>6</v>
      </c>
      <c r="AD33" s="7" t="n">
        <v>0.85</v>
      </c>
      <c r="AE33" s="7" t="s">
        <v>1043</v>
      </c>
      <c r="AF33" s="7" t="s">
        <v>1070</v>
      </c>
      <c r="AG33" s="7" t="s">
        <v>1171</v>
      </c>
    </row>
    <row r="34" customFormat="false" ht="15" hidden="false" customHeight="false" outlineLevel="0" collapsed="false">
      <c r="A34" s="7" t="s">
        <v>733</v>
      </c>
      <c r="B34" s="7" t="s">
        <v>732</v>
      </c>
      <c r="C34" s="7" t="s">
        <v>1021</v>
      </c>
      <c r="D34" s="7" t="s">
        <v>1052</v>
      </c>
      <c r="E34" s="7" t="s">
        <v>1023</v>
      </c>
      <c r="F34" s="7" t="n">
        <v>0.6</v>
      </c>
      <c r="G34" s="38" t="s">
        <v>1122</v>
      </c>
      <c r="H34" s="77" t="s">
        <v>1172</v>
      </c>
      <c r="I34" s="78" t="s">
        <v>1173</v>
      </c>
      <c r="J34" s="7" t="n">
        <v>85</v>
      </c>
      <c r="K34" s="7" t="n">
        <v>175</v>
      </c>
      <c r="L34" s="7" t="n">
        <v>230</v>
      </c>
      <c r="M34" s="7" t="n">
        <v>235</v>
      </c>
      <c r="N34" s="7" t="n">
        <v>300</v>
      </c>
      <c r="O34" s="7" t="s">
        <v>1057</v>
      </c>
      <c r="P34" s="7"/>
      <c r="Q34" s="11" t="n">
        <v>0.7</v>
      </c>
      <c r="R34" s="11" t="n">
        <v>0.4</v>
      </c>
      <c r="S34" s="11" t="n">
        <v>0.5</v>
      </c>
      <c r="T34" s="11" t="n">
        <v>0.3</v>
      </c>
      <c r="U34" s="11" t="n">
        <v>0.35</v>
      </c>
      <c r="V34" s="11" t="n">
        <v>0.3</v>
      </c>
      <c r="W34" s="11" t="n">
        <v>0.65</v>
      </c>
      <c r="X34" s="11" t="n">
        <v>0.3</v>
      </c>
      <c r="Y34" s="7" t="n">
        <v>0</v>
      </c>
      <c r="Z34" s="7" t="n">
        <v>0</v>
      </c>
      <c r="AA34" s="7" t="s">
        <v>1170</v>
      </c>
      <c r="AB34" s="7" t="s">
        <v>1170</v>
      </c>
      <c r="AC34" s="7" t="n">
        <v>4</v>
      </c>
      <c r="AD34" s="7" t="n">
        <v>0.75</v>
      </c>
      <c r="AE34" s="7" t="s">
        <v>1043</v>
      </c>
      <c r="AF34" s="7" t="s">
        <v>1070</v>
      </c>
      <c r="AG34" s="7" t="s">
        <v>1174</v>
      </c>
    </row>
    <row r="35" customFormat="false" ht="15" hidden="false" customHeight="false" outlineLevel="0" collapsed="false">
      <c r="A35" s="7" t="s">
        <v>737</v>
      </c>
      <c r="B35" s="7" t="s">
        <v>736</v>
      </c>
      <c r="C35" s="7" t="s">
        <v>1021</v>
      </c>
      <c r="D35" s="7" t="s">
        <v>1022</v>
      </c>
      <c r="E35" s="7" t="s">
        <v>1023</v>
      </c>
      <c r="F35" s="7" t="n">
        <v>0.9</v>
      </c>
      <c r="G35" s="65" t="s">
        <v>1151</v>
      </c>
      <c r="H35" s="79" t="s">
        <v>1175</v>
      </c>
      <c r="I35" s="80" t="s">
        <v>1176</v>
      </c>
      <c r="J35" s="7" t="n">
        <v>80</v>
      </c>
      <c r="K35" s="7" t="n">
        <v>140</v>
      </c>
      <c r="L35" s="7" t="n">
        <v>210</v>
      </c>
      <c r="M35" s="7" t="n">
        <v>220</v>
      </c>
      <c r="N35" s="7" t="n">
        <v>300</v>
      </c>
      <c r="O35" s="7" t="s">
        <v>1057</v>
      </c>
      <c r="P35" s="7"/>
      <c r="Q35" s="11" t="n">
        <v>0.7</v>
      </c>
      <c r="R35" s="11" t="n">
        <v>0.4</v>
      </c>
      <c r="S35" s="11" t="n">
        <v>0.6</v>
      </c>
      <c r="T35" s="11" t="n">
        <v>0.3</v>
      </c>
      <c r="U35" s="11" t="n">
        <v>0.3</v>
      </c>
      <c r="V35" s="11" t="n">
        <v>0.3</v>
      </c>
      <c r="W35" s="11" t="n">
        <v>0.8</v>
      </c>
      <c r="X35" s="11" t="n">
        <v>0.25</v>
      </c>
      <c r="Y35" s="7" t="n">
        <v>0</v>
      </c>
      <c r="Z35" s="7" t="n">
        <v>0</v>
      </c>
      <c r="AA35" s="7" t="s">
        <v>1170</v>
      </c>
      <c r="AB35" s="7" t="s">
        <v>1170</v>
      </c>
      <c r="AC35" s="7" t="n">
        <v>3</v>
      </c>
      <c r="AD35" s="7" t="n">
        <v>0.7</v>
      </c>
      <c r="AE35" s="7" t="s">
        <v>1043</v>
      </c>
      <c r="AF35" s="7" t="s">
        <v>1070</v>
      </c>
      <c r="AG35" s="7" t="s">
        <v>1177</v>
      </c>
    </row>
    <row r="36" customFormat="false" ht="15" hidden="false" customHeight="false" outlineLevel="0" collapsed="false">
      <c r="A36" s="7" t="s">
        <v>769</v>
      </c>
      <c r="B36" s="7" t="s">
        <v>768</v>
      </c>
      <c r="C36" s="7" t="s">
        <v>1021</v>
      </c>
      <c r="D36" s="7" t="s">
        <v>1027</v>
      </c>
      <c r="E36" s="7" t="s">
        <v>1023</v>
      </c>
      <c r="F36" s="7" t="n">
        <v>0.8</v>
      </c>
      <c r="G36" s="81" t="s">
        <v>1178</v>
      </c>
      <c r="H36" s="31" t="s">
        <v>1179</v>
      </c>
      <c r="I36" s="82" t="s">
        <v>1180</v>
      </c>
      <c r="J36" s="7" t="n">
        <v>85</v>
      </c>
      <c r="K36" s="7" t="n">
        <v>130</v>
      </c>
      <c r="L36" s="7" t="n">
        <v>160</v>
      </c>
      <c r="M36" s="7" t="n">
        <v>170</v>
      </c>
      <c r="N36" s="7" t="n">
        <v>300</v>
      </c>
      <c r="O36" s="7" t="s">
        <v>1057</v>
      </c>
      <c r="P36" s="7"/>
      <c r="Q36" s="11" t="n">
        <v>0.85</v>
      </c>
      <c r="R36" s="11" t="n">
        <v>0.4</v>
      </c>
      <c r="S36" s="11" t="n">
        <v>0.55</v>
      </c>
      <c r="T36" s="11" t="n">
        <v>0.3</v>
      </c>
      <c r="U36" s="11" t="n">
        <v>0.4</v>
      </c>
      <c r="V36" s="11" t="n">
        <v>0.35</v>
      </c>
      <c r="W36" s="11" t="n">
        <v>0.7</v>
      </c>
      <c r="X36" s="11" t="n">
        <v>0.3</v>
      </c>
      <c r="Y36" s="7" t="n">
        <v>0</v>
      </c>
      <c r="Z36" s="7" t="n">
        <v>0</v>
      </c>
      <c r="AA36" s="7" t="s">
        <v>1170</v>
      </c>
      <c r="AB36" s="7" t="s">
        <v>1170</v>
      </c>
      <c r="AC36" s="7" t="n">
        <v>3</v>
      </c>
      <c r="AD36" s="7" t="n">
        <v>0.65</v>
      </c>
      <c r="AE36" s="7" t="s">
        <v>1043</v>
      </c>
      <c r="AF36" s="7" t="s">
        <v>1070</v>
      </c>
      <c r="AG36" s="7" t="s">
        <v>1181</v>
      </c>
    </row>
    <row r="37" customFormat="false" ht="15" hidden="false" customHeight="false" outlineLevel="0" collapsed="false">
      <c r="A37" s="7" t="s">
        <v>764</v>
      </c>
      <c r="B37" s="7" t="s">
        <v>1182</v>
      </c>
      <c r="C37" s="7" t="s">
        <v>1021</v>
      </c>
      <c r="D37" s="7" t="s">
        <v>1052</v>
      </c>
      <c r="E37" s="7" t="s">
        <v>1023</v>
      </c>
      <c r="F37" s="7" t="n">
        <v>0.5</v>
      </c>
      <c r="G37" s="83" t="s">
        <v>1183</v>
      </c>
      <c r="H37" s="84" t="s">
        <v>1184</v>
      </c>
      <c r="I37" s="85" t="s">
        <v>1185</v>
      </c>
      <c r="J37" s="7" t="n">
        <v>70</v>
      </c>
      <c r="K37" s="7" t="n">
        <v>140</v>
      </c>
      <c r="L37" s="7" t="n">
        <v>170</v>
      </c>
      <c r="M37" s="7" t="n">
        <v>190</v>
      </c>
      <c r="N37" s="7" t="n">
        <v>999</v>
      </c>
      <c r="O37" s="7" t="s">
        <v>1186</v>
      </c>
      <c r="P37" s="7"/>
      <c r="Q37" s="11" t="n">
        <v>1</v>
      </c>
      <c r="R37" s="11" t="n">
        <v>0.3</v>
      </c>
      <c r="S37" s="11" t="n">
        <v>0.3</v>
      </c>
      <c r="T37" s="11" t="n">
        <v>0.25</v>
      </c>
      <c r="U37" s="11" t="n">
        <v>0.3</v>
      </c>
      <c r="V37" s="11" t="n">
        <v>0.3</v>
      </c>
      <c r="W37" s="11" t="n">
        <v>0.45</v>
      </c>
      <c r="X37" s="11" t="n">
        <v>0.3</v>
      </c>
      <c r="Y37" s="7" t="n">
        <v>0</v>
      </c>
      <c r="Z37" s="7" t="n">
        <v>0</v>
      </c>
      <c r="AA37" s="7" t="s">
        <v>1170</v>
      </c>
      <c r="AB37" s="7" t="s">
        <v>1170</v>
      </c>
      <c r="AC37" s="7" t="n">
        <v>2</v>
      </c>
      <c r="AD37" s="7" t="n">
        <v>0.6</v>
      </c>
      <c r="AE37" s="7" t="s">
        <v>1043</v>
      </c>
      <c r="AF37" s="7" t="s">
        <v>1070</v>
      </c>
      <c r="AG37" s="7" t="s">
        <v>1187</v>
      </c>
    </row>
    <row r="38" customFormat="false" ht="15" hidden="false" customHeight="false" outlineLevel="0" collapsed="false">
      <c r="A38" s="7" t="s">
        <v>742</v>
      </c>
      <c r="B38" s="7" t="s">
        <v>741</v>
      </c>
      <c r="C38" s="7" t="s">
        <v>1021</v>
      </c>
      <c r="D38" s="7" t="s">
        <v>1052</v>
      </c>
      <c r="E38" s="7" t="s">
        <v>1023</v>
      </c>
      <c r="F38" s="7" t="n">
        <v>0.5</v>
      </c>
      <c r="G38" s="14" t="s">
        <v>1188</v>
      </c>
      <c r="H38" s="86" t="s">
        <v>1189</v>
      </c>
      <c r="I38" s="87" t="s">
        <v>1190</v>
      </c>
      <c r="J38" s="7" t="n">
        <v>75</v>
      </c>
      <c r="K38" s="7" t="n">
        <v>160</v>
      </c>
      <c r="L38" s="7" t="n">
        <v>240</v>
      </c>
      <c r="M38" s="7" t="n">
        <v>230</v>
      </c>
      <c r="N38" s="7" t="n">
        <v>310</v>
      </c>
      <c r="O38" s="7" t="s">
        <v>1027</v>
      </c>
      <c r="P38" s="7"/>
      <c r="Q38" s="11" t="n">
        <v>0.9</v>
      </c>
      <c r="R38" s="11" t="n">
        <v>0.35</v>
      </c>
      <c r="S38" s="11" t="n">
        <v>0.45</v>
      </c>
      <c r="T38" s="11" t="n">
        <v>0.3</v>
      </c>
      <c r="U38" s="11" t="n">
        <v>0.45</v>
      </c>
      <c r="V38" s="11" t="n">
        <v>0.3</v>
      </c>
      <c r="W38" s="11" t="n">
        <v>0.6</v>
      </c>
      <c r="X38" s="11" t="n">
        <v>0.3</v>
      </c>
      <c r="Y38" s="7" t="n">
        <v>0</v>
      </c>
      <c r="Z38" s="7" t="n">
        <v>0</v>
      </c>
      <c r="AA38" s="7" t="s">
        <v>1170</v>
      </c>
      <c r="AB38" s="7" t="s">
        <v>1170</v>
      </c>
      <c r="AC38" s="7" t="n">
        <v>3</v>
      </c>
      <c r="AD38" s="7" t="n">
        <v>0.65</v>
      </c>
      <c r="AE38" s="7" t="s">
        <v>1043</v>
      </c>
      <c r="AF38" s="7" t="s">
        <v>1031</v>
      </c>
      <c r="AG38" s="7" t="s">
        <v>1191</v>
      </c>
    </row>
    <row r="39" customFormat="false" ht="15" hidden="false" customHeight="false" outlineLevel="0" collapsed="false">
      <c r="A39" s="7" t="s">
        <v>747</v>
      </c>
      <c r="B39" s="7" t="s">
        <v>746</v>
      </c>
      <c r="C39" s="7" t="s">
        <v>1021</v>
      </c>
      <c r="D39" s="7" t="s">
        <v>1022</v>
      </c>
      <c r="E39" s="7" t="s">
        <v>1023</v>
      </c>
      <c r="F39" s="7" t="n">
        <v>1.1</v>
      </c>
      <c r="G39" s="55" t="s">
        <v>1141</v>
      </c>
      <c r="H39" s="88" t="s">
        <v>1192</v>
      </c>
      <c r="I39" s="62" t="s">
        <v>1193</v>
      </c>
      <c r="J39" s="7" t="n">
        <v>85</v>
      </c>
      <c r="K39" s="7" t="n">
        <v>195</v>
      </c>
      <c r="L39" s="7" t="n">
        <v>260</v>
      </c>
      <c r="M39" s="7" t="n">
        <v>260</v>
      </c>
      <c r="N39" s="7" t="n">
        <v>300</v>
      </c>
      <c r="O39" s="7" t="s">
        <v>1048</v>
      </c>
      <c r="P39" s="7"/>
      <c r="Q39" s="11" t="n">
        <v>1</v>
      </c>
      <c r="R39" s="11" t="n">
        <v>0.35</v>
      </c>
      <c r="S39" s="11" t="n">
        <v>0.45</v>
      </c>
      <c r="T39" s="11" t="n">
        <v>0.3</v>
      </c>
      <c r="U39" s="11" t="n">
        <v>0.35</v>
      </c>
      <c r="V39" s="11" t="n">
        <v>0.3</v>
      </c>
      <c r="W39" s="11" t="n">
        <v>0.55</v>
      </c>
      <c r="X39" s="11" t="n">
        <v>0.3</v>
      </c>
      <c r="Y39" s="7" t="n">
        <v>0</v>
      </c>
      <c r="Z39" s="7" t="n">
        <v>0</v>
      </c>
      <c r="AA39" s="7" t="s">
        <v>1170</v>
      </c>
      <c r="AB39" s="7" t="s">
        <v>1170</v>
      </c>
      <c r="AC39" s="7" t="n">
        <v>6</v>
      </c>
      <c r="AD39" s="7" t="n">
        <v>0.65</v>
      </c>
      <c r="AE39" s="7" t="s">
        <v>1043</v>
      </c>
      <c r="AF39" s="7" t="s">
        <v>1050</v>
      </c>
      <c r="AG39" s="7" t="s">
        <v>1194</v>
      </c>
    </row>
    <row r="40" customFormat="false" ht="15" hidden="false" customHeight="false" outlineLevel="0" collapsed="false">
      <c r="A40" s="7" t="s">
        <v>774</v>
      </c>
      <c r="B40" s="7" t="s">
        <v>1195</v>
      </c>
      <c r="C40" s="7" t="s">
        <v>1021</v>
      </c>
      <c r="D40" s="7" t="s">
        <v>1052</v>
      </c>
      <c r="E40" s="7" t="s">
        <v>1053</v>
      </c>
      <c r="F40" s="7" t="n">
        <v>0.4</v>
      </c>
      <c r="G40" s="38" t="s">
        <v>1122</v>
      </c>
      <c r="H40" s="89" t="s">
        <v>1196</v>
      </c>
      <c r="I40" s="90" t="s">
        <v>1197</v>
      </c>
      <c r="J40" s="7" t="n">
        <v>105</v>
      </c>
      <c r="K40" s="7" t="n">
        <v>150</v>
      </c>
      <c r="L40" s="7" t="n">
        <v>300</v>
      </c>
      <c r="M40" s="7" t="n">
        <v>200</v>
      </c>
      <c r="N40" s="7" t="n">
        <v>310</v>
      </c>
      <c r="O40" s="7" t="s">
        <v>1057</v>
      </c>
      <c r="P40" s="7"/>
      <c r="Q40" s="11" t="n">
        <v>1</v>
      </c>
      <c r="R40" s="11" t="n">
        <v>0.3</v>
      </c>
      <c r="S40" s="11" t="n">
        <v>0.45</v>
      </c>
      <c r="T40" s="11" t="n">
        <v>0.3</v>
      </c>
      <c r="U40" s="11" t="n">
        <v>0.65</v>
      </c>
      <c r="V40" s="11" t="n">
        <v>0.3</v>
      </c>
      <c r="W40" s="11" t="n">
        <v>0.65</v>
      </c>
      <c r="X40" s="11" t="n">
        <v>0.3</v>
      </c>
      <c r="Y40" s="7" t="n">
        <v>0</v>
      </c>
      <c r="Z40" s="7" t="n">
        <v>0</v>
      </c>
      <c r="AA40" s="7" t="s">
        <v>1170</v>
      </c>
      <c r="AB40" s="7" t="s">
        <v>1170</v>
      </c>
      <c r="AC40" s="7" t="n">
        <v>3</v>
      </c>
      <c r="AD40" s="7" t="n">
        <v>0.6</v>
      </c>
      <c r="AE40" s="7" t="s">
        <v>1043</v>
      </c>
      <c r="AF40" s="7" t="s">
        <v>1031</v>
      </c>
      <c r="AG40" s="7" t="s">
        <v>1198</v>
      </c>
    </row>
    <row r="41" customFormat="false" ht="15" hidden="false" customHeight="false" outlineLevel="0" collapsed="false">
      <c r="A41" s="7" t="s">
        <v>779</v>
      </c>
      <c r="B41" s="7" t="s">
        <v>778</v>
      </c>
      <c r="C41" s="7" t="s">
        <v>1021</v>
      </c>
      <c r="D41" s="7" t="s">
        <v>1052</v>
      </c>
      <c r="E41" s="7" t="s">
        <v>1053</v>
      </c>
      <c r="F41" s="7" t="n">
        <v>0.4</v>
      </c>
      <c r="G41" s="14" t="s">
        <v>1199</v>
      </c>
      <c r="H41" s="91" t="s">
        <v>1200</v>
      </c>
      <c r="I41" s="16" t="s">
        <v>1083</v>
      </c>
      <c r="J41" s="7" t="n">
        <v>75</v>
      </c>
      <c r="K41" s="7" t="n">
        <v>135</v>
      </c>
      <c r="L41" s="7" t="n">
        <v>200</v>
      </c>
      <c r="M41" s="7" t="n">
        <v>190</v>
      </c>
      <c r="N41" s="7" t="n">
        <v>215</v>
      </c>
      <c r="O41" s="7" t="s">
        <v>1057</v>
      </c>
      <c r="P41" s="7"/>
      <c r="Q41" s="11" t="n">
        <v>1</v>
      </c>
      <c r="R41" s="11" t="n">
        <v>0.3</v>
      </c>
      <c r="S41" s="11" t="n">
        <v>0.45</v>
      </c>
      <c r="T41" s="11" t="n">
        <v>0.3</v>
      </c>
      <c r="U41" s="11" t="n">
        <v>0.65</v>
      </c>
      <c r="V41" s="11" t="n">
        <v>0.3</v>
      </c>
      <c r="W41" s="11" t="n">
        <v>0.55</v>
      </c>
      <c r="X41" s="11" t="n">
        <v>0.3</v>
      </c>
      <c r="Y41" s="7" t="n">
        <v>0</v>
      </c>
      <c r="Z41" s="7" t="n">
        <v>0</v>
      </c>
      <c r="AA41" s="7" t="s">
        <v>1170</v>
      </c>
      <c r="AB41" s="7" t="s">
        <v>1170</v>
      </c>
      <c r="AC41" s="7" t="n">
        <v>3</v>
      </c>
      <c r="AD41" s="7" t="n">
        <v>0.6</v>
      </c>
      <c r="AE41" s="7" t="s">
        <v>1043</v>
      </c>
      <c r="AF41" s="7" t="s">
        <v>1031</v>
      </c>
      <c r="AG41" s="7" t="s">
        <v>1201</v>
      </c>
    </row>
    <row r="42" customFormat="false" ht="15" hidden="false" customHeight="false" outlineLevel="0" collapsed="false">
      <c r="A42" s="7" t="s">
        <v>789</v>
      </c>
      <c r="B42" s="7" t="s">
        <v>788</v>
      </c>
      <c r="C42" s="7" t="s">
        <v>1021</v>
      </c>
      <c r="D42" s="7" t="s">
        <v>1052</v>
      </c>
      <c r="E42" s="7" t="s">
        <v>1023</v>
      </c>
      <c r="F42" s="7" t="n">
        <v>0.6</v>
      </c>
      <c r="G42" s="81" t="s">
        <v>1178</v>
      </c>
      <c r="H42" s="50" t="s">
        <v>1202</v>
      </c>
      <c r="I42" s="78" t="s">
        <v>1173</v>
      </c>
      <c r="J42" s="7" t="n">
        <v>95</v>
      </c>
      <c r="K42" s="7" t="n">
        <v>180</v>
      </c>
      <c r="L42" s="7" t="n">
        <v>260</v>
      </c>
      <c r="M42" s="7" t="n">
        <v>260</v>
      </c>
      <c r="N42" s="7" t="n">
        <v>300</v>
      </c>
      <c r="O42" s="7" t="s">
        <v>1057</v>
      </c>
      <c r="P42" s="7"/>
      <c r="Q42" s="11" t="n">
        <v>0.95</v>
      </c>
      <c r="R42" s="11" t="n">
        <v>0.35</v>
      </c>
      <c r="S42" s="11" t="n">
        <v>0.45</v>
      </c>
      <c r="T42" s="11" t="n">
        <v>0.3</v>
      </c>
      <c r="U42" s="11" t="n">
        <v>0.45</v>
      </c>
      <c r="V42" s="11" t="n">
        <v>0.35</v>
      </c>
      <c r="W42" s="11" t="n">
        <v>0.45</v>
      </c>
      <c r="X42" s="11" t="n">
        <v>0.3</v>
      </c>
      <c r="Y42" s="7" t="n">
        <v>1</v>
      </c>
      <c r="Z42" s="7" t="n">
        <v>0</v>
      </c>
      <c r="AA42" s="7" t="s">
        <v>1170</v>
      </c>
      <c r="AB42" s="7" t="s">
        <v>1170</v>
      </c>
      <c r="AC42" s="7" t="n">
        <v>7</v>
      </c>
      <c r="AD42" s="7" t="n">
        <v>0.6</v>
      </c>
      <c r="AE42" s="7" t="s">
        <v>1043</v>
      </c>
      <c r="AF42" s="7" t="s">
        <v>1031</v>
      </c>
      <c r="AG42" s="7" t="s">
        <v>1203</v>
      </c>
    </row>
    <row r="43" customFormat="false" ht="15" hidden="false" customHeight="false" outlineLevel="0" collapsed="false">
      <c r="A43" s="7" t="s">
        <v>784</v>
      </c>
      <c r="B43" s="7" t="s">
        <v>783</v>
      </c>
      <c r="C43" s="7" t="s">
        <v>1021</v>
      </c>
      <c r="D43" s="7" t="s">
        <v>1204</v>
      </c>
      <c r="E43" s="7" t="s">
        <v>1023</v>
      </c>
      <c r="F43" s="7" t="n">
        <v>3</v>
      </c>
      <c r="G43" s="81" t="s">
        <v>1178</v>
      </c>
      <c r="H43" s="92" t="s">
        <v>1205</v>
      </c>
      <c r="I43" s="93" t="s">
        <v>1206</v>
      </c>
      <c r="J43" s="7" t="n">
        <v>90</v>
      </c>
      <c r="K43" s="7" t="n">
        <v>185</v>
      </c>
      <c r="L43" s="7" t="n">
        <v>215</v>
      </c>
      <c r="M43" s="7" t="n">
        <v>235</v>
      </c>
      <c r="N43" s="7" t="n">
        <v>290</v>
      </c>
      <c r="O43" s="7" t="s">
        <v>1048</v>
      </c>
      <c r="P43" s="7"/>
      <c r="Q43" s="11" t="n">
        <v>0.9</v>
      </c>
      <c r="R43" s="11" t="n">
        <v>0.35</v>
      </c>
      <c r="S43" s="11" t="n">
        <v>0.55</v>
      </c>
      <c r="T43" s="11" t="n">
        <v>0.3</v>
      </c>
      <c r="U43" s="11" t="n">
        <v>0.3</v>
      </c>
      <c r="V43" s="11" t="n">
        <v>0.3</v>
      </c>
      <c r="W43" s="11" t="n">
        <v>0.7</v>
      </c>
      <c r="X43" s="11" t="n">
        <v>0.3</v>
      </c>
      <c r="Y43" s="7" t="n">
        <v>0</v>
      </c>
      <c r="Z43" s="7" t="n">
        <v>0</v>
      </c>
      <c r="AA43" s="7" t="s">
        <v>1170</v>
      </c>
      <c r="AB43" s="7" t="s">
        <v>1170</v>
      </c>
      <c r="AC43" s="7" t="n">
        <v>3</v>
      </c>
      <c r="AD43" s="7" t="n">
        <v>0.6</v>
      </c>
      <c r="AE43" s="7" t="s">
        <v>1043</v>
      </c>
      <c r="AF43" s="7" t="s">
        <v>1060</v>
      </c>
      <c r="AG43" s="7" t="s">
        <v>1207</v>
      </c>
    </row>
    <row r="44" customFormat="false" ht="15" hidden="false" customHeight="false" outlineLevel="0" collapsed="false">
      <c r="A44" s="7" t="s">
        <v>753</v>
      </c>
      <c r="B44" s="7" t="s">
        <v>752</v>
      </c>
      <c r="C44" s="7" t="s">
        <v>1021</v>
      </c>
      <c r="D44" s="7" t="s">
        <v>1052</v>
      </c>
      <c r="E44" s="7" t="s">
        <v>1023</v>
      </c>
      <c r="F44" s="7" t="n">
        <v>0.8</v>
      </c>
      <c r="G44" s="94" t="s">
        <v>1208</v>
      </c>
      <c r="H44" s="95" t="s">
        <v>1209</v>
      </c>
      <c r="I44" s="96" t="s">
        <v>1210</v>
      </c>
      <c r="J44" s="7" t="n">
        <v>75</v>
      </c>
      <c r="K44" s="7" t="n">
        <v>200</v>
      </c>
      <c r="L44" s="7" t="n">
        <v>250</v>
      </c>
      <c r="M44" s="7" t="n">
        <v>260</v>
      </c>
      <c r="N44" s="7" t="n">
        <v>320</v>
      </c>
      <c r="O44" s="7" t="s">
        <v>1048</v>
      </c>
      <c r="P44" s="7"/>
      <c r="Q44" s="11" t="n">
        <v>1</v>
      </c>
      <c r="R44" s="11" t="n">
        <v>0.3</v>
      </c>
      <c r="S44" s="11" t="n">
        <v>0.3</v>
      </c>
      <c r="T44" s="11" t="n">
        <v>0.25</v>
      </c>
      <c r="U44" s="11" t="n">
        <v>0.4</v>
      </c>
      <c r="V44" s="11" t="n">
        <v>0.3</v>
      </c>
      <c r="W44" s="11" t="n">
        <v>0.45</v>
      </c>
      <c r="X44" s="11" t="n">
        <v>0.3</v>
      </c>
      <c r="Y44" s="7" t="n">
        <v>0</v>
      </c>
      <c r="Z44" s="7" t="n">
        <v>0</v>
      </c>
      <c r="AA44" s="7" t="s">
        <v>1170</v>
      </c>
      <c r="AB44" s="7" t="s">
        <v>1170</v>
      </c>
      <c r="AC44" s="7" t="n">
        <v>3</v>
      </c>
      <c r="AD44" s="7" t="n">
        <v>0.6</v>
      </c>
      <c r="AE44" s="7" t="s">
        <v>1043</v>
      </c>
      <c r="AF44" s="7" t="s">
        <v>1060</v>
      </c>
      <c r="AG44" s="7" t="s">
        <v>1211</v>
      </c>
    </row>
    <row r="45" customFormat="false" ht="15" hidden="false" customHeight="false" outlineLevel="0" collapsed="false">
      <c r="A45" s="7" t="s">
        <v>759</v>
      </c>
      <c r="B45" s="7" t="s">
        <v>758</v>
      </c>
      <c r="C45" s="7" t="s">
        <v>1021</v>
      </c>
      <c r="D45" s="7" t="s">
        <v>1022</v>
      </c>
      <c r="E45" s="7" t="s">
        <v>1023</v>
      </c>
      <c r="F45" s="7" t="n">
        <v>1.4</v>
      </c>
      <c r="G45" s="97" t="s">
        <v>1212</v>
      </c>
      <c r="H45" s="20" t="s">
        <v>1213</v>
      </c>
      <c r="I45" s="70" t="s">
        <v>1158</v>
      </c>
      <c r="J45" s="7" t="n">
        <v>70</v>
      </c>
      <c r="K45" s="7" t="n">
        <v>210</v>
      </c>
      <c r="L45" s="7" t="n">
        <v>260</v>
      </c>
      <c r="M45" s="7" t="n">
        <v>270</v>
      </c>
      <c r="N45" s="7" t="n">
        <v>300</v>
      </c>
      <c r="O45" s="7" t="s">
        <v>1048</v>
      </c>
      <c r="P45" s="7"/>
      <c r="Q45" s="11" t="n">
        <v>0.9</v>
      </c>
      <c r="R45" s="11" t="n">
        <v>0.35</v>
      </c>
      <c r="S45" s="11" t="n">
        <v>0.5</v>
      </c>
      <c r="T45" s="11" t="n">
        <v>0.3</v>
      </c>
      <c r="U45" s="11" t="n">
        <v>0.5</v>
      </c>
      <c r="V45" s="11" t="n">
        <v>0.35</v>
      </c>
      <c r="W45" s="11" t="n">
        <v>0.6</v>
      </c>
      <c r="X45" s="11" t="n">
        <v>0.3</v>
      </c>
      <c r="Y45" s="7" t="n">
        <v>1</v>
      </c>
      <c r="Z45" s="7" t="n">
        <v>0</v>
      </c>
      <c r="AA45" s="7" t="s">
        <v>1028</v>
      </c>
      <c r="AB45" s="7" t="s">
        <v>1079</v>
      </c>
      <c r="AC45" s="7" t="n">
        <v>8</v>
      </c>
      <c r="AD45" s="7" t="n">
        <v>0.45</v>
      </c>
      <c r="AE45" s="7" t="s">
        <v>1043</v>
      </c>
      <c r="AF45" s="7" t="s">
        <v>1060</v>
      </c>
      <c r="AG45" s="7" t="s">
        <v>1214</v>
      </c>
    </row>
    <row r="46" customFormat="false" ht="15" hidden="false" customHeight="false" outlineLevel="0" collapsed="false">
      <c r="A46" s="7" t="s">
        <v>970</v>
      </c>
      <c r="B46" s="7" t="s">
        <v>969</v>
      </c>
      <c r="C46" s="7" t="s">
        <v>1021</v>
      </c>
      <c r="D46" s="7" t="s">
        <v>1130</v>
      </c>
      <c r="E46" s="7" t="s">
        <v>1053</v>
      </c>
      <c r="F46" s="7" t="n">
        <v>0.9</v>
      </c>
      <c r="G46" s="19" t="s">
        <v>1119</v>
      </c>
      <c r="H46" s="98" t="s">
        <v>1215</v>
      </c>
      <c r="I46" s="20" t="s">
        <v>1216</v>
      </c>
      <c r="J46" s="7" t="n">
        <v>140</v>
      </c>
      <c r="K46" s="7" t="n">
        <v>200</v>
      </c>
      <c r="L46" s="7" t="n">
        <v>250</v>
      </c>
      <c r="M46" s="7" t="n">
        <v>245</v>
      </c>
      <c r="N46" s="7" t="n">
        <v>280</v>
      </c>
      <c r="O46" s="7" t="s">
        <v>1048</v>
      </c>
      <c r="P46" s="7"/>
      <c r="Q46" s="11" t="n">
        <v>1</v>
      </c>
      <c r="R46" s="11" t="n">
        <v>0.3</v>
      </c>
      <c r="S46" s="11" t="n">
        <v>0.5</v>
      </c>
      <c r="T46" s="11" t="n">
        <v>0.3</v>
      </c>
      <c r="U46" s="11" t="n">
        <v>0.8</v>
      </c>
      <c r="V46" s="11" t="n">
        <v>0.3</v>
      </c>
      <c r="W46" s="11" t="n">
        <v>0.7</v>
      </c>
      <c r="X46" s="11" t="n">
        <v>0.3</v>
      </c>
      <c r="Y46" s="7" t="n">
        <v>1</v>
      </c>
      <c r="Z46" s="7" t="n">
        <v>0</v>
      </c>
      <c r="AA46" s="7" t="s">
        <v>1028</v>
      </c>
      <c r="AB46" s="7" t="s">
        <v>1059</v>
      </c>
      <c r="AC46" s="7" t="n">
        <v>6</v>
      </c>
      <c r="AD46" s="7" t="n">
        <v>0.7</v>
      </c>
      <c r="AE46" s="7" t="s">
        <v>1043</v>
      </c>
      <c r="AF46" s="7" t="s">
        <v>1060</v>
      </c>
      <c r="AG46" s="7" t="s">
        <v>1217</v>
      </c>
    </row>
    <row r="47" customFormat="false" ht="15" hidden="false" customHeight="false" outlineLevel="0" collapsed="false">
      <c r="A47" s="7" t="s">
        <v>119</v>
      </c>
      <c r="B47" s="7" t="s">
        <v>118</v>
      </c>
      <c r="C47" s="7" t="s">
        <v>1021</v>
      </c>
      <c r="D47" s="7" t="s">
        <v>1052</v>
      </c>
      <c r="E47" s="7" t="s">
        <v>1023</v>
      </c>
      <c r="F47" s="7" t="n">
        <v>0.4</v>
      </c>
      <c r="G47" s="48" t="s">
        <v>1111</v>
      </c>
      <c r="H47" s="61" t="s">
        <v>1218</v>
      </c>
      <c r="I47" s="34" t="s">
        <v>1219</v>
      </c>
      <c r="J47" s="7" t="n">
        <v>75</v>
      </c>
      <c r="K47" s="7" t="n">
        <v>135</v>
      </c>
      <c r="L47" s="7" t="n">
        <v>250</v>
      </c>
      <c r="M47" s="7" t="n">
        <v>200</v>
      </c>
      <c r="N47" s="7" t="n">
        <v>320</v>
      </c>
      <c r="O47" s="7" t="s">
        <v>1027</v>
      </c>
      <c r="P47" s="7"/>
      <c r="Q47" s="11" t="n">
        <v>1</v>
      </c>
      <c r="R47" s="11" t="n">
        <v>0.35</v>
      </c>
      <c r="S47" s="11" t="n">
        <v>0.5</v>
      </c>
      <c r="T47" s="11" t="n">
        <v>0.3</v>
      </c>
      <c r="U47" s="11" t="n">
        <v>0.25</v>
      </c>
      <c r="V47" s="11" t="n">
        <v>0.25</v>
      </c>
      <c r="W47" s="11" t="n">
        <v>0.45</v>
      </c>
      <c r="X47" s="11" t="n">
        <v>0.3</v>
      </c>
      <c r="Y47" s="7" t="n">
        <v>2</v>
      </c>
      <c r="Z47" s="7" t="n">
        <v>0</v>
      </c>
      <c r="AA47" s="7" t="s">
        <v>1028</v>
      </c>
      <c r="AB47" s="7" t="s">
        <v>1059</v>
      </c>
      <c r="AC47" s="7" t="n">
        <v>8</v>
      </c>
      <c r="AD47" s="7" t="n">
        <v>0.55</v>
      </c>
      <c r="AE47" s="7" t="s">
        <v>1043</v>
      </c>
      <c r="AF47" s="7" t="s">
        <v>1050</v>
      </c>
      <c r="AG47" s="7" t="s">
        <v>1220</v>
      </c>
    </row>
    <row r="48" customFormat="false" ht="15" hidden="false" customHeight="false" outlineLevel="0" collapsed="false">
      <c r="A48" s="7" t="s">
        <v>640</v>
      </c>
      <c r="B48" s="7" t="s">
        <v>639</v>
      </c>
      <c r="C48" s="7" t="s">
        <v>1021</v>
      </c>
      <c r="D48" s="7" t="s">
        <v>1130</v>
      </c>
      <c r="E48" s="7" t="s">
        <v>1023</v>
      </c>
      <c r="F48" s="7" t="n">
        <v>0.8</v>
      </c>
      <c r="G48" s="99" t="s">
        <v>1221</v>
      </c>
      <c r="H48" s="100" t="s">
        <v>1222</v>
      </c>
      <c r="I48" s="101" t="s">
        <v>1223</v>
      </c>
      <c r="J48" s="7" t="n">
        <v>115</v>
      </c>
      <c r="K48" s="7" t="n">
        <v>225</v>
      </c>
      <c r="L48" s="7" t="n">
        <v>260</v>
      </c>
      <c r="M48" s="7" t="n">
        <v>275</v>
      </c>
      <c r="N48" s="7" t="n">
        <v>290</v>
      </c>
      <c r="O48" s="7" t="s">
        <v>1134</v>
      </c>
      <c r="P48" s="7"/>
      <c r="Q48" s="11" t="n">
        <v>1</v>
      </c>
      <c r="R48" s="11" t="n">
        <v>0.25</v>
      </c>
      <c r="S48" s="11" t="n">
        <v>0.25</v>
      </c>
      <c r="T48" s="11" t="n">
        <v>0.25</v>
      </c>
      <c r="U48" s="11" t="n">
        <v>0.05</v>
      </c>
      <c r="V48" s="11" t="n">
        <v>0.2</v>
      </c>
      <c r="W48" s="11" t="n">
        <v>0.25</v>
      </c>
      <c r="X48" s="11" t="n">
        <v>0.25</v>
      </c>
      <c r="Y48" s="7" t="n">
        <v>0</v>
      </c>
      <c r="Z48" s="7" t="n">
        <v>5</v>
      </c>
      <c r="AA48" s="7" t="s">
        <v>1058</v>
      </c>
      <c r="AB48" s="7" t="s">
        <v>1029</v>
      </c>
      <c r="AC48" s="7" t="n">
        <v>8</v>
      </c>
      <c r="AD48" s="7" t="n">
        <v>0.7</v>
      </c>
      <c r="AE48" s="7" t="s">
        <v>1043</v>
      </c>
      <c r="AF48" s="7" t="s">
        <v>1060</v>
      </c>
      <c r="AG48" s="7" t="s">
        <v>1224</v>
      </c>
    </row>
    <row r="49" customFormat="false" ht="15" hidden="false" customHeight="false" outlineLevel="0" collapsed="false">
      <c r="A49" s="7" t="s">
        <v>644</v>
      </c>
      <c r="B49" s="7" t="s">
        <v>643</v>
      </c>
      <c r="C49" s="7" t="s">
        <v>1021</v>
      </c>
      <c r="D49" s="7" t="s">
        <v>1130</v>
      </c>
      <c r="E49" s="7" t="s">
        <v>1023</v>
      </c>
      <c r="F49" s="7" t="n">
        <v>1.8</v>
      </c>
      <c r="G49" s="41" t="s">
        <v>1225</v>
      </c>
      <c r="H49" s="102" t="s">
        <v>1226</v>
      </c>
      <c r="I49" s="103" t="s">
        <v>1227</v>
      </c>
      <c r="J49" s="7" t="n">
        <v>120</v>
      </c>
      <c r="K49" s="7" t="n">
        <v>220</v>
      </c>
      <c r="L49" s="7" t="n">
        <v>260</v>
      </c>
      <c r="M49" s="7" t="n">
        <v>275</v>
      </c>
      <c r="N49" s="7" t="n">
        <v>290</v>
      </c>
      <c r="O49" s="7" t="s">
        <v>1134</v>
      </c>
      <c r="P49" s="7"/>
      <c r="Q49" s="11" t="n">
        <v>1</v>
      </c>
      <c r="R49" s="11" t="n">
        <v>0.25</v>
      </c>
      <c r="S49" s="11" t="n">
        <v>0.5</v>
      </c>
      <c r="T49" s="11" t="n">
        <v>0.3</v>
      </c>
      <c r="U49" s="11" t="n">
        <v>0.05</v>
      </c>
      <c r="V49" s="11" t="n">
        <v>0.2</v>
      </c>
      <c r="W49" s="11" t="n">
        <v>0.4</v>
      </c>
      <c r="X49" s="11" t="n">
        <v>0.3</v>
      </c>
      <c r="Y49" s="7" t="n">
        <v>0</v>
      </c>
      <c r="Z49" s="7" t="n">
        <v>5</v>
      </c>
      <c r="AA49" s="7" t="s">
        <v>1058</v>
      </c>
      <c r="AB49" s="7" t="s">
        <v>1029</v>
      </c>
      <c r="AC49" s="7" t="n">
        <v>10</v>
      </c>
      <c r="AD49" s="7" t="n">
        <v>0.5</v>
      </c>
      <c r="AE49" s="7" t="s">
        <v>1043</v>
      </c>
      <c r="AF49" s="7" t="s">
        <v>1060</v>
      </c>
      <c r="AG49" s="7" t="s">
        <v>1228</v>
      </c>
    </row>
    <row r="50" customFormat="false" ht="15" hidden="false" customHeight="false" outlineLevel="0" collapsed="false">
      <c r="A50" s="7" t="s">
        <v>648</v>
      </c>
      <c r="B50" s="7" t="s">
        <v>647</v>
      </c>
      <c r="C50" s="7" t="s">
        <v>1021</v>
      </c>
      <c r="D50" s="7" t="s">
        <v>1130</v>
      </c>
      <c r="E50" s="7" t="s">
        <v>1023</v>
      </c>
      <c r="F50" s="7" t="n">
        <v>1.3</v>
      </c>
      <c r="G50" s="87" t="s">
        <v>1229</v>
      </c>
      <c r="H50" s="104" t="s">
        <v>1230</v>
      </c>
      <c r="I50" s="105" t="s">
        <v>1231</v>
      </c>
      <c r="J50" s="7" t="n">
        <v>120</v>
      </c>
      <c r="K50" s="7" t="n">
        <v>210</v>
      </c>
      <c r="L50" s="7" t="n">
        <v>250</v>
      </c>
      <c r="M50" s="7" t="n">
        <v>270</v>
      </c>
      <c r="N50" s="7" t="n">
        <v>290</v>
      </c>
      <c r="O50" s="7" t="s">
        <v>1134</v>
      </c>
      <c r="P50" s="7"/>
      <c r="Q50" s="11" t="n">
        <v>1</v>
      </c>
      <c r="R50" s="11" t="n">
        <v>0.3</v>
      </c>
      <c r="S50" s="11" t="n">
        <v>0.6</v>
      </c>
      <c r="T50" s="11" t="n">
        <v>0.3</v>
      </c>
      <c r="U50" s="11" t="n">
        <v>0.1</v>
      </c>
      <c r="V50" s="11" t="n">
        <v>0.2</v>
      </c>
      <c r="W50" s="11" t="n">
        <v>0.45</v>
      </c>
      <c r="X50" s="11" t="n">
        <v>0.3</v>
      </c>
      <c r="Y50" s="7" t="n">
        <v>0</v>
      </c>
      <c r="Z50" s="7" t="n">
        <v>4</v>
      </c>
      <c r="AA50" s="7" t="s">
        <v>1058</v>
      </c>
      <c r="AB50" s="7" t="s">
        <v>1029</v>
      </c>
      <c r="AC50" s="7" t="n">
        <v>9</v>
      </c>
      <c r="AD50" s="7" t="n">
        <v>0.45</v>
      </c>
      <c r="AE50" s="7" t="s">
        <v>1043</v>
      </c>
      <c r="AF50" s="7" t="s">
        <v>1060</v>
      </c>
      <c r="AG50" s="7" t="s">
        <v>1232</v>
      </c>
    </row>
    <row r="51" customFormat="false" ht="15" hidden="false" customHeight="false" outlineLevel="0" collapsed="false">
      <c r="A51" s="7" t="s">
        <v>973</v>
      </c>
      <c r="B51" s="7" t="s">
        <v>972</v>
      </c>
      <c r="C51" s="7" t="s">
        <v>1021</v>
      </c>
      <c r="D51" s="7" t="s">
        <v>1130</v>
      </c>
      <c r="E51" s="7" t="s">
        <v>1023</v>
      </c>
      <c r="F51" s="7" t="n">
        <v>0.9</v>
      </c>
      <c r="G51" s="106" t="s">
        <v>1233</v>
      </c>
      <c r="H51" s="23" t="s">
        <v>1234</v>
      </c>
      <c r="I51" s="107" t="s">
        <v>1235</v>
      </c>
      <c r="J51" s="7" t="n">
        <v>115</v>
      </c>
      <c r="K51" s="7" t="n">
        <v>240</v>
      </c>
      <c r="L51" s="7" t="n">
        <v>280</v>
      </c>
      <c r="M51" s="7" t="n">
        <v>290</v>
      </c>
      <c r="N51" s="7" t="n">
        <v>290</v>
      </c>
      <c r="O51" s="7" t="s">
        <v>1134</v>
      </c>
      <c r="P51" s="7"/>
      <c r="Q51" s="11" t="n">
        <v>1</v>
      </c>
      <c r="R51" s="11" t="n">
        <v>0.3</v>
      </c>
      <c r="S51" s="11" t="n">
        <v>0.3</v>
      </c>
      <c r="T51" s="11" t="n">
        <v>0.3</v>
      </c>
      <c r="U51" s="11" t="n">
        <v>0.1</v>
      </c>
      <c r="V51" s="11" t="n">
        <v>0.2</v>
      </c>
      <c r="W51" s="11" t="n">
        <v>0.15</v>
      </c>
      <c r="X51" s="11" t="n">
        <v>0.2</v>
      </c>
      <c r="Y51" s="7" t="n">
        <v>1</v>
      </c>
      <c r="Z51" s="7" t="n">
        <v>1</v>
      </c>
      <c r="AA51" s="7" t="s">
        <v>1058</v>
      </c>
      <c r="AB51" s="7" t="s">
        <v>1029</v>
      </c>
      <c r="AC51" s="7" t="n">
        <v>9</v>
      </c>
      <c r="AD51" s="7" t="n">
        <v>0.75</v>
      </c>
      <c r="AE51" s="7" t="s">
        <v>1043</v>
      </c>
      <c r="AF51" s="7" t="s">
        <v>1060</v>
      </c>
      <c r="AG51" s="7" t="s">
        <v>1236</v>
      </c>
    </row>
    <row r="52" customFormat="false" ht="15" hidden="false" customHeight="false" outlineLevel="0" collapsed="false">
      <c r="A52" s="7" t="s">
        <v>978</v>
      </c>
      <c r="B52" s="7" t="s">
        <v>977</v>
      </c>
      <c r="C52" s="7" t="s">
        <v>1021</v>
      </c>
      <c r="D52" s="7" t="s">
        <v>1130</v>
      </c>
      <c r="E52" s="7" t="s">
        <v>1023</v>
      </c>
      <c r="F52" s="7" t="n">
        <v>0.9</v>
      </c>
      <c r="G52" s="68" t="s">
        <v>1237</v>
      </c>
      <c r="H52" s="108" t="s">
        <v>1238</v>
      </c>
      <c r="I52" s="41" t="s">
        <v>1239</v>
      </c>
      <c r="J52" s="7" t="n">
        <v>50</v>
      </c>
      <c r="K52" s="7" t="n">
        <v>135</v>
      </c>
      <c r="L52" s="7" t="n">
        <v>160</v>
      </c>
      <c r="M52" s="7" t="n">
        <v>175</v>
      </c>
      <c r="N52" s="7" t="n">
        <v>360</v>
      </c>
      <c r="O52" s="7" t="s">
        <v>1186</v>
      </c>
      <c r="P52" s="7"/>
      <c r="Q52" s="11" t="n">
        <v>0.9</v>
      </c>
      <c r="R52" s="11" t="n">
        <v>0.4</v>
      </c>
      <c r="S52" s="11" t="n">
        <v>0.5</v>
      </c>
      <c r="T52" s="11" t="n">
        <v>0.35</v>
      </c>
      <c r="U52" s="11" t="n">
        <v>0.2</v>
      </c>
      <c r="V52" s="11" t="n">
        <v>0.3</v>
      </c>
      <c r="W52" s="11" t="n">
        <v>0.55</v>
      </c>
      <c r="X52" s="11" t="n">
        <v>0.3</v>
      </c>
      <c r="Y52" s="7" t="n">
        <v>2</v>
      </c>
      <c r="Z52" s="7" t="n">
        <v>0</v>
      </c>
      <c r="AA52" s="7" t="s">
        <v>1028</v>
      </c>
      <c r="AB52" s="7" t="s">
        <v>1059</v>
      </c>
      <c r="AC52" s="7" t="n">
        <v>18</v>
      </c>
      <c r="AD52" s="7" t="n">
        <v>0.95</v>
      </c>
      <c r="AE52" s="7" t="s">
        <v>1043</v>
      </c>
      <c r="AF52" s="7" t="s">
        <v>1060</v>
      </c>
      <c r="AG52" s="7" t="s">
        <v>1240</v>
      </c>
    </row>
    <row r="53" customFormat="false" ht="15" hidden="false" customHeight="false" outlineLevel="0" collapsed="false">
      <c r="A53" s="7" t="s">
        <v>675</v>
      </c>
      <c r="B53" s="7" t="s">
        <v>674</v>
      </c>
      <c r="C53" s="7" t="s">
        <v>1021</v>
      </c>
      <c r="D53" s="7" t="s">
        <v>1022</v>
      </c>
      <c r="E53" s="7" t="s">
        <v>1023</v>
      </c>
      <c r="F53" s="7" t="n">
        <v>1.4</v>
      </c>
      <c r="G53" s="109" t="s">
        <v>1241</v>
      </c>
      <c r="H53" s="88" t="s">
        <v>1192</v>
      </c>
      <c r="I53" s="24" t="s">
        <v>1242</v>
      </c>
      <c r="J53" s="7" t="n">
        <v>85</v>
      </c>
      <c r="K53" s="7" t="n">
        <v>225</v>
      </c>
      <c r="L53" s="7" t="n">
        <v>280</v>
      </c>
      <c r="M53" s="7" t="n">
        <v>290</v>
      </c>
      <c r="N53" s="7" t="n">
        <v>300</v>
      </c>
      <c r="O53" s="7" t="s">
        <v>1048</v>
      </c>
      <c r="P53" s="7"/>
      <c r="Q53" s="11" t="n">
        <v>1</v>
      </c>
      <c r="R53" s="11" t="n">
        <v>0.35</v>
      </c>
      <c r="S53" s="11" t="n">
        <v>0.5</v>
      </c>
      <c r="T53" s="11" t="n">
        <v>0.3</v>
      </c>
      <c r="U53" s="11" t="n">
        <v>0.12</v>
      </c>
      <c r="V53" s="11" t="n">
        <v>0.2</v>
      </c>
      <c r="W53" s="11" t="n">
        <v>0.5</v>
      </c>
      <c r="X53" s="11" t="n">
        <v>0.3</v>
      </c>
      <c r="Y53" s="7" t="n">
        <v>0</v>
      </c>
      <c r="Z53" s="7" t="n">
        <v>1</v>
      </c>
      <c r="AA53" s="7" t="s">
        <v>1058</v>
      </c>
      <c r="AB53" s="7" t="s">
        <v>1079</v>
      </c>
      <c r="AC53" s="7" t="n">
        <v>14</v>
      </c>
      <c r="AD53" s="7" t="n">
        <v>0.95</v>
      </c>
      <c r="AE53" s="7" t="s">
        <v>1043</v>
      </c>
      <c r="AF53" s="7" t="s">
        <v>1060</v>
      </c>
      <c r="AG53" s="7" t="s">
        <v>1243</v>
      </c>
    </row>
    <row r="54" customFormat="false" ht="15" hidden="false" customHeight="false" outlineLevel="0" collapsed="false">
      <c r="A54" s="7" t="s">
        <v>680</v>
      </c>
      <c r="B54" s="7" t="s">
        <v>679</v>
      </c>
      <c r="C54" s="7" t="s">
        <v>1021</v>
      </c>
      <c r="D54" s="7" t="s">
        <v>1022</v>
      </c>
      <c r="E54" s="7" t="s">
        <v>1023</v>
      </c>
      <c r="F54" s="7" t="n">
        <v>1.2</v>
      </c>
      <c r="G54" s="97" t="s">
        <v>1244</v>
      </c>
      <c r="H54" s="36" t="s">
        <v>1245</v>
      </c>
      <c r="I54" s="110" t="s">
        <v>1246</v>
      </c>
      <c r="J54" s="7" t="n">
        <v>90</v>
      </c>
      <c r="K54" s="7" t="n">
        <v>245</v>
      </c>
      <c r="L54" s="7" t="n">
        <v>290</v>
      </c>
      <c r="M54" s="7" t="n">
        <v>300</v>
      </c>
      <c r="N54" s="7" t="n">
        <v>310</v>
      </c>
      <c r="O54" s="7" t="s">
        <v>1048</v>
      </c>
      <c r="P54" s="7"/>
      <c r="Q54" s="11" t="n">
        <v>1</v>
      </c>
      <c r="R54" s="11" t="n">
        <v>0.35</v>
      </c>
      <c r="S54" s="11" t="n">
        <v>0.6</v>
      </c>
      <c r="T54" s="11" t="n">
        <v>0.3</v>
      </c>
      <c r="U54" s="11" t="n">
        <v>0.1</v>
      </c>
      <c r="V54" s="11" t="n">
        <v>0.2</v>
      </c>
      <c r="W54" s="11" t="n">
        <v>0.5</v>
      </c>
      <c r="X54" s="11" t="n">
        <v>0.3</v>
      </c>
      <c r="Y54" s="7" t="n">
        <v>0</v>
      </c>
      <c r="Z54" s="7" t="n">
        <v>3</v>
      </c>
      <c r="AA54" s="7" t="s">
        <v>1058</v>
      </c>
      <c r="AB54" s="7" t="s">
        <v>1029</v>
      </c>
      <c r="AC54" s="7" t="n">
        <v>6</v>
      </c>
      <c r="AD54" s="7" t="n">
        <v>0.5</v>
      </c>
      <c r="AE54" s="7" t="s">
        <v>1043</v>
      </c>
      <c r="AF54" s="7" t="s">
        <v>1031</v>
      </c>
      <c r="AG54" s="7" t="s">
        <v>1247</v>
      </c>
    </row>
    <row r="55" customFormat="false" ht="15" hidden="false" customHeight="false" outlineLevel="0" collapsed="false">
      <c r="A55" s="7" t="s">
        <v>684</v>
      </c>
      <c r="B55" s="7" t="s">
        <v>683</v>
      </c>
      <c r="C55" s="7" t="s">
        <v>1021</v>
      </c>
      <c r="D55" s="7" t="s">
        <v>1052</v>
      </c>
      <c r="E55" s="7" t="s">
        <v>1034</v>
      </c>
      <c r="F55" s="7" t="n">
        <v>0.6</v>
      </c>
      <c r="G55" s="73" t="s">
        <v>1164</v>
      </c>
      <c r="H55" s="89" t="s">
        <v>1248</v>
      </c>
      <c r="I55" s="111" t="s">
        <v>1249</v>
      </c>
      <c r="J55" s="7" t="n">
        <v>75</v>
      </c>
      <c r="K55" s="7" t="n">
        <v>160</v>
      </c>
      <c r="L55" s="7" t="n">
        <v>230</v>
      </c>
      <c r="M55" s="7" t="n">
        <v>230</v>
      </c>
      <c r="N55" s="7" t="n">
        <v>290</v>
      </c>
      <c r="O55" s="7" t="s">
        <v>1027</v>
      </c>
      <c r="P55" s="7"/>
      <c r="Q55" s="11" t="n">
        <v>1</v>
      </c>
      <c r="R55" s="11" t="n">
        <v>0.3</v>
      </c>
      <c r="S55" s="11" t="n">
        <v>0.35</v>
      </c>
      <c r="T55" s="11" t="n">
        <v>0.3</v>
      </c>
      <c r="U55" s="11" t="n">
        <v>0.2</v>
      </c>
      <c r="V55" s="11" t="n">
        <v>0.25</v>
      </c>
      <c r="W55" s="11" t="n">
        <v>0.35</v>
      </c>
      <c r="X55" s="11" t="n">
        <v>0.3</v>
      </c>
      <c r="Y55" s="7" t="n">
        <v>0</v>
      </c>
      <c r="Z55" s="7" t="n">
        <v>2</v>
      </c>
      <c r="AA55" s="7" t="s">
        <v>1058</v>
      </c>
      <c r="AB55" s="7" t="s">
        <v>1059</v>
      </c>
      <c r="AC55" s="7" t="n">
        <v>5</v>
      </c>
      <c r="AD55" s="7" t="n">
        <v>0.45</v>
      </c>
      <c r="AE55" s="7" t="s">
        <v>1043</v>
      </c>
      <c r="AF55" s="7" t="s">
        <v>1031</v>
      </c>
      <c r="AG55" s="7" t="s">
        <v>1250</v>
      </c>
    </row>
    <row r="56" customFormat="false" ht="15" hidden="false" customHeight="false" outlineLevel="0" collapsed="false">
      <c r="A56" s="7" t="s">
        <v>359</v>
      </c>
      <c r="B56" s="7" t="s">
        <v>358</v>
      </c>
      <c r="C56" s="7" t="s">
        <v>1021</v>
      </c>
      <c r="D56" s="7" t="s">
        <v>1052</v>
      </c>
      <c r="E56" s="7" t="s">
        <v>1023</v>
      </c>
      <c r="F56" s="7" t="n">
        <v>0.9</v>
      </c>
      <c r="G56" s="97" t="s">
        <v>1212</v>
      </c>
      <c r="H56" s="112" t="s">
        <v>1251</v>
      </c>
      <c r="I56" s="113" t="s">
        <v>1252</v>
      </c>
      <c r="J56" s="7" t="n">
        <v>95</v>
      </c>
      <c r="K56" s="7" t="n">
        <v>170</v>
      </c>
      <c r="L56" s="7" t="n">
        <v>215</v>
      </c>
      <c r="M56" s="7" t="n">
        <v>230</v>
      </c>
      <c r="N56" s="7" t="n">
        <v>295</v>
      </c>
      <c r="O56" s="7" t="s">
        <v>1048</v>
      </c>
      <c r="P56" s="7"/>
      <c r="Q56" s="11" t="n">
        <v>1</v>
      </c>
      <c r="R56" s="11" t="n">
        <v>0.35</v>
      </c>
      <c r="S56" s="11" t="n">
        <v>0.45</v>
      </c>
      <c r="T56" s="11" t="n">
        <v>0.3</v>
      </c>
      <c r="U56" s="11" t="n">
        <v>0.08</v>
      </c>
      <c r="V56" s="11" t="n">
        <v>0.2</v>
      </c>
      <c r="W56" s="11" t="n">
        <v>0.35</v>
      </c>
      <c r="X56" s="11" t="n">
        <v>0.3</v>
      </c>
      <c r="Y56" s="7" t="n">
        <v>0</v>
      </c>
      <c r="Z56" s="7" t="n">
        <v>4</v>
      </c>
      <c r="AA56" s="7" t="s">
        <v>1058</v>
      </c>
      <c r="AB56" s="7" t="s">
        <v>1079</v>
      </c>
      <c r="AC56" s="7" t="n">
        <v>7</v>
      </c>
      <c r="AD56" s="7" t="n">
        <v>0.45</v>
      </c>
      <c r="AE56" s="7" t="s">
        <v>1043</v>
      </c>
      <c r="AF56" s="7" t="s">
        <v>1050</v>
      </c>
      <c r="AG56" s="7" t="s">
        <v>1253</v>
      </c>
    </row>
    <row r="57" customFormat="false" ht="15" hidden="false" customHeight="false" outlineLevel="0" collapsed="false">
      <c r="A57" s="7" t="s">
        <v>365</v>
      </c>
      <c r="B57" s="7" t="s">
        <v>364</v>
      </c>
      <c r="C57" s="7" t="s">
        <v>1021</v>
      </c>
      <c r="D57" s="7" t="s">
        <v>1052</v>
      </c>
      <c r="E57" s="7" t="s">
        <v>1023</v>
      </c>
      <c r="F57" s="7" t="n">
        <v>0.7</v>
      </c>
      <c r="G57" s="19" t="s">
        <v>1119</v>
      </c>
      <c r="H57" s="114" t="s">
        <v>1254</v>
      </c>
      <c r="I57" s="67" t="s">
        <v>1153</v>
      </c>
      <c r="J57" s="7" t="n">
        <v>105</v>
      </c>
      <c r="K57" s="7" t="n">
        <v>190</v>
      </c>
      <c r="L57" s="7" t="n">
        <v>240</v>
      </c>
      <c r="M57" s="7" t="n">
        <v>250</v>
      </c>
      <c r="N57" s="7" t="n">
        <v>290</v>
      </c>
      <c r="O57" s="7" t="s">
        <v>1048</v>
      </c>
      <c r="P57" s="7"/>
      <c r="Q57" s="11" t="n">
        <v>1</v>
      </c>
      <c r="R57" s="11" t="n">
        <v>0.35</v>
      </c>
      <c r="S57" s="11" t="n">
        <v>0.65</v>
      </c>
      <c r="T57" s="11" t="n">
        <v>0.25</v>
      </c>
      <c r="U57" s="11" t="n">
        <v>0.08</v>
      </c>
      <c r="V57" s="11" t="n">
        <v>0.2</v>
      </c>
      <c r="W57" s="11" t="n">
        <v>0.4</v>
      </c>
      <c r="X57" s="11" t="n">
        <v>0.3</v>
      </c>
      <c r="Y57" s="7" t="n">
        <v>0</v>
      </c>
      <c r="Z57" s="7" t="n">
        <v>4</v>
      </c>
      <c r="AA57" s="7" t="s">
        <v>1058</v>
      </c>
      <c r="AB57" s="7" t="s">
        <v>1079</v>
      </c>
      <c r="AC57" s="7" t="n">
        <v>6</v>
      </c>
      <c r="AD57" s="7" t="n">
        <v>0.35</v>
      </c>
      <c r="AE57" s="7" t="s">
        <v>1043</v>
      </c>
      <c r="AF57" s="7" t="s">
        <v>1038</v>
      </c>
      <c r="AG57" s="7" t="s">
        <v>1255</v>
      </c>
    </row>
    <row r="58" customFormat="false" ht="15" hidden="false" customHeight="false" outlineLevel="0" collapsed="false">
      <c r="A58" s="7" t="s">
        <v>308</v>
      </c>
      <c r="B58" s="7" t="s">
        <v>307</v>
      </c>
      <c r="C58" s="7" t="s">
        <v>1021</v>
      </c>
      <c r="D58" s="7" t="s">
        <v>1052</v>
      </c>
      <c r="E58" s="7" t="s">
        <v>1023</v>
      </c>
      <c r="F58" s="7" t="n">
        <v>0.5</v>
      </c>
      <c r="G58" s="109" t="s">
        <v>1241</v>
      </c>
      <c r="H58" s="115" t="s">
        <v>1256</v>
      </c>
      <c r="I58" s="41" t="s">
        <v>1239</v>
      </c>
      <c r="J58" s="7" t="n">
        <v>60</v>
      </c>
      <c r="K58" s="7" t="n">
        <v>140</v>
      </c>
      <c r="L58" s="7" t="n">
        <v>230</v>
      </c>
      <c r="M58" s="7" t="n">
        <v>220</v>
      </c>
      <c r="N58" s="7" t="n">
        <v>320</v>
      </c>
      <c r="O58" s="7" t="s">
        <v>1027</v>
      </c>
      <c r="P58" s="7"/>
      <c r="Q58" s="11" t="n">
        <v>1</v>
      </c>
      <c r="R58" s="11" t="n">
        <v>0.35</v>
      </c>
      <c r="S58" s="11" t="n">
        <v>0.35</v>
      </c>
      <c r="T58" s="11" t="n">
        <v>0.3</v>
      </c>
      <c r="U58" s="11" t="n">
        <v>0.25</v>
      </c>
      <c r="V58" s="11" t="n">
        <v>0.3</v>
      </c>
      <c r="W58" s="11" t="n">
        <v>0.35</v>
      </c>
      <c r="X58" s="11" t="n">
        <v>0.3</v>
      </c>
      <c r="Y58" s="7" t="n">
        <v>2</v>
      </c>
      <c r="Z58" s="7" t="n">
        <v>1</v>
      </c>
      <c r="AA58" s="7" t="s">
        <v>1058</v>
      </c>
      <c r="AB58" s="7" t="s">
        <v>1079</v>
      </c>
      <c r="AC58" s="7" t="n">
        <v>6</v>
      </c>
      <c r="AD58" s="7" t="n">
        <v>0.6</v>
      </c>
      <c r="AE58" s="7" t="s">
        <v>1043</v>
      </c>
      <c r="AF58" s="7" t="s">
        <v>1038</v>
      </c>
      <c r="AG58" s="7" t="s">
        <v>1257</v>
      </c>
    </row>
    <row r="59" customFormat="false" ht="15" hidden="false" customHeight="false" outlineLevel="0" collapsed="false">
      <c r="A59" s="7" t="s">
        <v>341</v>
      </c>
      <c r="B59" s="7" t="s">
        <v>340</v>
      </c>
      <c r="C59" s="7" t="s">
        <v>1021</v>
      </c>
      <c r="D59" s="7" t="s">
        <v>1022</v>
      </c>
      <c r="E59" s="7" t="s">
        <v>1023</v>
      </c>
      <c r="F59" s="7" t="n">
        <v>1.2</v>
      </c>
      <c r="G59" s="106" t="s">
        <v>1258</v>
      </c>
      <c r="H59" s="116" t="s">
        <v>1259</v>
      </c>
      <c r="I59" s="21" t="s">
        <v>1056</v>
      </c>
      <c r="J59" s="7" t="n">
        <v>120</v>
      </c>
      <c r="K59" s="7" t="n">
        <v>165</v>
      </c>
      <c r="L59" s="7" t="n">
        <v>200</v>
      </c>
      <c r="M59" s="7" t="n">
        <v>255</v>
      </c>
      <c r="N59" s="7" t="n">
        <v>285</v>
      </c>
      <c r="O59" s="7" t="s">
        <v>1048</v>
      </c>
      <c r="P59" s="7"/>
      <c r="Q59" s="11" t="n">
        <v>1</v>
      </c>
      <c r="R59" s="11" t="n">
        <v>0.3</v>
      </c>
      <c r="S59" s="11" t="n">
        <v>0.45</v>
      </c>
      <c r="T59" s="11" t="n">
        <v>0.3</v>
      </c>
      <c r="U59" s="11" t="n">
        <v>0.2</v>
      </c>
      <c r="V59" s="11" t="n">
        <v>0.25</v>
      </c>
      <c r="W59" s="11" t="n">
        <v>0.5</v>
      </c>
      <c r="X59" s="11" t="n">
        <v>0.3</v>
      </c>
      <c r="Y59" s="7" t="n">
        <v>0</v>
      </c>
      <c r="Z59" s="7" t="n">
        <v>0</v>
      </c>
      <c r="AA59" s="7" t="s">
        <v>1058</v>
      </c>
      <c r="AB59" s="7" t="s">
        <v>1029</v>
      </c>
      <c r="AC59" s="7" t="n">
        <v>10</v>
      </c>
      <c r="AD59" s="7" t="n">
        <v>0.5</v>
      </c>
      <c r="AE59" s="7" t="s">
        <v>1043</v>
      </c>
      <c r="AF59" s="7" t="s">
        <v>1038</v>
      </c>
      <c r="AG59" s="7" t="s">
        <v>1260</v>
      </c>
    </row>
    <row r="60" customFormat="false" ht="15" hidden="false" customHeight="false" outlineLevel="0" collapsed="false">
      <c r="A60" s="7" t="s">
        <v>552</v>
      </c>
      <c r="B60" s="7" t="s">
        <v>551</v>
      </c>
      <c r="C60" s="7" t="s">
        <v>1021</v>
      </c>
      <c r="D60" s="7" t="s">
        <v>1052</v>
      </c>
      <c r="E60" s="7" t="s">
        <v>1023</v>
      </c>
      <c r="F60" s="7" t="n">
        <v>0.2</v>
      </c>
      <c r="G60" s="55" t="s">
        <v>1141</v>
      </c>
      <c r="H60" s="117" t="s">
        <v>1261</v>
      </c>
      <c r="I60" s="37" t="s">
        <v>1262</v>
      </c>
      <c r="J60" s="7" t="n">
        <v>75</v>
      </c>
      <c r="K60" s="7" t="n">
        <v>150</v>
      </c>
      <c r="L60" s="7" t="n">
        <v>260</v>
      </c>
      <c r="M60" s="7" t="n">
        <v>240</v>
      </c>
      <c r="N60" s="7" t="n">
        <v>310</v>
      </c>
      <c r="O60" s="7" t="s">
        <v>1027</v>
      </c>
      <c r="P60" s="7"/>
      <c r="Q60" s="11" t="n">
        <v>0.75</v>
      </c>
      <c r="R60" s="11" t="n">
        <v>0.4</v>
      </c>
      <c r="S60" s="11" t="n">
        <v>0.6</v>
      </c>
      <c r="T60" s="11" t="n">
        <v>0.3</v>
      </c>
      <c r="U60" s="11" t="n">
        <v>0.35</v>
      </c>
      <c r="V60" s="11" t="n">
        <v>0.3</v>
      </c>
      <c r="W60" s="11" t="n">
        <v>0.45</v>
      </c>
      <c r="X60" s="11" t="n">
        <v>0.3</v>
      </c>
      <c r="Y60" s="7" t="n">
        <v>3</v>
      </c>
      <c r="Z60" s="7" t="n">
        <v>0</v>
      </c>
      <c r="AA60" s="7" t="s">
        <v>1058</v>
      </c>
      <c r="AB60" s="7" t="s">
        <v>1059</v>
      </c>
      <c r="AC60" s="7" t="n">
        <v>4</v>
      </c>
      <c r="AD60" s="7" t="n">
        <v>0.5</v>
      </c>
      <c r="AE60" s="7" t="s">
        <v>1043</v>
      </c>
      <c r="AF60" s="7" t="s">
        <v>1070</v>
      </c>
      <c r="AG60" s="7" t="s">
        <v>1263</v>
      </c>
    </row>
    <row r="61" customFormat="false" ht="15" hidden="false" customHeight="false" outlineLevel="0" collapsed="false">
      <c r="A61" s="7" t="s">
        <v>106</v>
      </c>
      <c r="B61" s="7" t="s">
        <v>105</v>
      </c>
      <c r="C61" s="7" t="s">
        <v>1021</v>
      </c>
      <c r="D61" s="7" t="s">
        <v>1052</v>
      </c>
      <c r="E61" s="7" t="s">
        <v>1023</v>
      </c>
      <c r="F61" s="7" t="n">
        <v>0.3</v>
      </c>
      <c r="G61" s="17" t="s">
        <v>1045</v>
      </c>
      <c r="H61" s="101" t="s">
        <v>1264</v>
      </c>
      <c r="I61" s="28" t="s">
        <v>1265</v>
      </c>
      <c r="J61" s="7" t="n">
        <v>60</v>
      </c>
      <c r="K61" s="7" t="n">
        <v>110</v>
      </c>
      <c r="L61" s="7" t="n">
        <v>170</v>
      </c>
      <c r="M61" s="7" t="n">
        <v>170</v>
      </c>
      <c r="N61" s="7" t="n">
        <v>320</v>
      </c>
      <c r="O61" s="7" t="s">
        <v>1027</v>
      </c>
      <c r="P61" s="7"/>
      <c r="Q61" s="11" t="n">
        <v>1</v>
      </c>
      <c r="R61" s="11" t="n">
        <v>0.35</v>
      </c>
      <c r="S61" s="11" t="n">
        <v>0.25</v>
      </c>
      <c r="T61" s="11" t="n">
        <v>0.25</v>
      </c>
      <c r="U61" s="11" t="n">
        <v>0.25</v>
      </c>
      <c r="V61" s="11" t="n">
        <v>0.3</v>
      </c>
      <c r="W61" s="11" t="n">
        <v>0.2</v>
      </c>
      <c r="X61" s="11" t="n">
        <v>0.25</v>
      </c>
      <c r="Y61" s="7" t="n">
        <v>2</v>
      </c>
      <c r="Z61" s="7" t="n">
        <v>0</v>
      </c>
      <c r="AA61" s="7" t="s">
        <v>1028</v>
      </c>
      <c r="AB61" s="7" t="s">
        <v>1079</v>
      </c>
      <c r="AC61" s="7" t="n">
        <v>8</v>
      </c>
      <c r="AD61" s="7" t="n">
        <v>0.45</v>
      </c>
      <c r="AE61" s="7" t="s">
        <v>1043</v>
      </c>
      <c r="AF61" s="7" t="s">
        <v>1060</v>
      </c>
      <c r="AG61" s="7" t="s">
        <v>1266</v>
      </c>
    </row>
    <row r="62" customFormat="false" ht="15" hidden="false" customHeight="false" outlineLevel="0" collapsed="false">
      <c r="A62" s="7" t="s">
        <v>130</v>
      </c>
      <c r="B62" s="7" t="s">
        <v>129</v>
      </c>
      <c r="C62" s="7" t="s">
        <v>1021</v>
      </c>
      <c r="D62" s="7" t="s">
        <v>1094</v>
      </c>
      <c r="E62" s="7" t="s">
        <v>1023</v>
      </c>
      <c r="F62" s="7" t="n">
        <v>0.15</v>
      </c>
      <c r="G62" s="55" t="s">
        <v>1141</v>
      </c>
      <c r="H62" s="31" t="s">
        <v>1082</v>
      </c>
      <c r="I62" s="28" t="s">
        <v>1267</v>
      </c>
      <c r="J62" s="7" t="n">
        <v>65</v>
      </c>
      <c r="K62" s="7" t="n">
        <v>95</v>
      </c>
      <c r="L62" s="7" t="n">
        <v>125</v>
      </c>
      <c r="M62" s="7" t="n">
        <v>150</v>
      </c>
      <c r="N62" s="7" t="n">
        <v>330</v>
      </c>
      <c r="O62" s="7" t="s">
        <v>1094</v>
      </c>
      <c r="P62" s="7"/>
      <c r="Q62" s="11" t="n">
        <v>0.9</v>
      </c>
      <c r="R62" s="11" t="n">
        <v>0.35</v>
      </c>
      <c r="S62" s="11" t="n">
        <v>0.45</v>
      </c>
      <c r="T62" s="11" t="n">
        <v>0.3</v>
      </c>
      <c r="U62" s="11" t="n">
        <v>0.15</v>
      </c>
      <c r="V62" s="11" t="n">
        <v>0.25</v>
      </c>
      <c r="W62" s="11" t="n">
        <v>0.35</v>
      </c>
      <c r="X62" s="11" t="n">
        <v>0.3</v>
      </c>
      <c r="Y62" s="7" t="n">
        <v>1</v>
      </c>
      <c r="Z62" s="7" t="n">
        <v>2</v>
      </c>
      <c r="AA62" s="7" t="s">
        <v>1058</v>
      </c>
      <c r="AB62" s="7" t="s">
        <v>1079</v>
      </c>
      <c r="AC62" s="7" t="n">
        <v>8</v>
      </c>
      <c r="AD62" s="7" t="n">
        <v>0.45</v>
      </c>
      <c r="AE62" s="7" t="s">
        <v>1043</v>
      </c>
      <c r="AF62" s="7" t="s">
        <v>1031</v>
      </c>
      <c r="AG62" s="7" t="s">
        <v>1268</v>
      </c>
    </row>
    <row r="63" customFormat="false" ht="15" hidden="false" customHeight="false" outlineLevel="0" collapsed="false">
      <c r="A63" s="7" t="s">
        <v>596</v>
      </c>
      <c r="B63" s="7" t="s">
        <v>595</v>
      </c>
      <c r="C63" s="7" t="s">
        <v>1021</v>
      </c>
      <c r="D63" s="7" t="s">
        <v>1022</v>
      </c>
      <c r="E63" s="7" t="s">
        <v>1034</v>
      </c>
      <c r="F63" s="7" t="n">
        <v>1.6</v>
      </c>
      <c r="G63" s="19" t="s">
        <v>1119</v>
      </c>
      <c r="H63" s="118" t="s">
        <v>1269</v>
      </c>
      <c r="I63" s="21" t="s">
        <v>1056</v>
      </c>
      <c r="J63" s="7" t="n">
        <v>85</v>
      </c>
      <c r="K63" s="7" t="n">
        <v>200</v>
      </c>
      <c r="L63" s="7" t="n">
        <v>250</v>
      </c>
      <c r="M63" s="7" t="n">
        <v>245</v>
      </c>
      <c r="N63" s="7" t="n">
        <v>290</v>
      </c>
      <c r="O63" s="7" t="s">
        <v>1027</v>
      </c>
      <c r="P63" s="7"/>
      <c r="Q63" s="11" t="n">
        <v>0.9</v>
      </c>
      <c r="R63" s="11" t="n">
        <v>0.4</v>
      </c>
      <c r="S63" s="11" t="n">
        <v>0.5</v>
      </c>
      <c r="T63" s="11" t="n">
        <v>0.3</v>
      </c>
      <c r="U63" s="11" t="n">
        <v>0.35</v>
      </c>
      <c r="V63" s="11" t="n">
        <v>0.3</v>
      </c>
      <c r="W63" s="11" t="n">
        <v>0.55</v>
      </c>
      <c r="X63" s="11" t="n">
        <v>0.3</v>
      </c>
      <c r="Y63" s="7" t="n">
        <v>0</v>
      </c>
      <c r="Z63" s="7" t="n">
        <v>2</v>
      </c>
      <c r="AA63" s="7" t="s">
        <v>1058</v>
      </c>
      <c r="AB63" s="7" t="s">
        <v>1029</v>
      </c>
      <c r="AC63" s="7" t="n">
        <v>3</v>
      </c>
      <c r="AD63" s="7" t="n">
        <v>0.35</v>
      </c>
      <c r="AE63" s="7" t="s">
        <v>1043</v>
      </c>
      <c r="AF63" s="7" t="s">
        <v>1031</v>
      </c>
      <c r="AG63" s="7" t="s">
        <v>1270</v>
      </c>
    </row>
    <row r="64" customFormat="false" ht="15" hidden="false" customHeight="false" outlineLevel="0" collapsed="false">
      <c r="A64" s="7" t="s">
        <v>896</v>
      </c>
      <c r="B64" s="7" t="s">
        <v>895</v>
      </c>
      <c r="C64" s="7" t="s">
        <v>1021</v>
      </c>
      <c r="D64" s="7" t="s">
        <v>1271</v>
      </c>
      <c r="E64" s="7" t="s">
        <v>1271</v>
      </c>
      <c r="F64" s="7" t="n">
        <v>0.3</v>
      </c>
      <c r="G64" s="49" t="s">
        <v>1272</v>
      </c>
      <c r="H64" s="49" t="s">
        <v>1272</v>
      </c>
      <c r="I64" s="21" t="s">
        <v>1056</v>
      </c>
      <c r="J64" s="7" t="n">
        <v>210</v>
      </c>
      <c r="K64" s="7" t="n">
        <v>220</v>
      </c>
      <c r="L64" s="7" t="n">
        <v>270</v>
      </c>
      <c r="M64" s="7" t="n">
        <v>270</v>
      </c>
      <c r="N64" s="7" t="n">
        <v>290</v>
      </c>
      <c r="O64" s="7" t="s">
        <v>1057</v>
      </c>
      <c r="P64" s="7"/>
      <c r="Q64" s="11" t="n">
        <v>1</v>
      </c>
      <c r="R64" s="11" t="n">
        <v>0.5</v>
      </c>
      <c r="S64" s="11" t="n">
        <v>0.6</v>
      </c>
      <c r="T64" s="11" t="n">
        <v>0.3</v>
      </c>
      <c r="U64" s="11" t="n">
        <v>0.15</v>
      </c>
      <c r="V64" s="11" t="n">
        <v>0.25</v>
      </c>
      <c r="W64" s="11" t="n">
        <v>0.65</v>
      </c>
      <c r="X64" s="11" t="n">
        <v>0.3</v>
      </c>
      <c r="Y64" s="7" t="n">
        <v>1</v>
      </c>
      <c r="Z64" s="7" t="n">
        <v>0</v>
      </c>
      <c r="AA64" s="7" t="s">
        <v>1058</v>
      </c>
      <c r="AB64" s="7" t="s">
        <v>1273</v>
      </c>
      <c r="AC64" s="7" t="n">
        <v>20</v>
      </c>
      <c r="AD64" s="7" t="n">
        <v>0.08</v>
      </c>
      <c r="AE64" s="7" t="s">
        <v>1043</v>
      </c>
      <c r="AF64" s="7" t="s">
        <v>1274</v>
      </c>
      <c r="AG64" s="7" t="s">
        <v>1275</v>
      </c>
    </row>
    <row r="65" customFormat="false" ht="15" hidden="false" customHeight="false" outlineLevel="0" collapsed="false">
      <c r="A65" s="7" t="s">
        <v>345</v>
      </c>
      <c r="B65" s="7" t="s">
        <v>344</v>
      </c>
      <c r="C65" s="7" t="s">
        <v>1021</v>
      </c>
      <c r="D65" s="7" t="s">
        <v>1052</v>
      </c>
      <c r="E65" s="7" t="s">
        <v>1023</v>
      </c>
      <c r="F65" s="7" t="n">
        <v>0.6</v>
      </c>
      <c r="G65" s="73" t="s">
        <v>1164</v>
      </c>
      <c r="H65" s="119" t="s">
        <v>1276</v>
      </c>
      <c r="I65" s="62" t="s">
        <v>1143</v>
      </c>
      <c r="J65" s="7" t="n">
        <v>130</v>
      </c>
      <c r="K65" s="7" t="n">
        <v>160</v>
      </c>
      <c r="L65" s="7" t="n">
        <v>210</v>
      </c>
      <c r="M65" s="7" t="n">
        <v>250</v>
      </c>
      <c r="N65" s="7" t="n">
        <v>290</v>
      </c>
      <c r="O65" s="7" t="s">
        <v>1048</v>
      </c>
      <c r="P65" s="7"/>
      <c r="Q65" s="11" t="n">
        <v>1</v>
      </c>
      <c r="R65" s="11" t="n">
        <v>0.25</v>
      </c>
      <c r="S65" s="11" t="n">
        <v>0.2</v>
      </c>
      <c r="T65" s="11" t="n">
        <v>0.2</v>
      </c>
      <c r="U65" s="11" t="n">
        <v>0.05</v>
      </c>
      <c r="V65" s="11" t="n">
        <v>0.15</v>
      </c>
      <c r="W65" s="11" t="n">
        <v>0.2</v>
      </c>
      <c r="X65" s="11" t="n">
        <v>0.2</v>
      </c>
      <c r="Y65" s="7" t="n">
        <v>0</v>
      </c>
      <c r="Z65" s="7" t="n">
        <v>7</v>
      </c>
      <c r="AA65" s="7" t="s">
        <v>1058</v>
      </c>
      <c r="AB65" s="7" t="s">
        <v>1029</v>
      </c>
      <c r="AC65" s="7" t="n">
        <v>5</v>
      </c>
      <c r="AD65" s="7" t="n">
        <v>0.35</v>
      </c>
      <c r="AE65" s="7" t="s">
        <v>1043</v>
      </c>
      <c r="AF65" s="7" t="s">
        <v>1038</v>
      </c>
      <c r="AG65" s="7" t="s">
        <v>1277</v>
      </c>
    </row>
    <row r="66" customFormat="false" ht="15" hidden="false" customHeight="false" outlineLevel="0" collapsed="false">
      <c r="A66" s="7" t="s">
        <v>349</v>
      </c>
      <c r="B66" s="7" t="s">
        <v>348</v>
      </c>
      <c r="C66" s="7" t="s">
        <v>1021</v>
      </c>
      <c r="D66" s="7" t="s">
        <v>1052</v>
      </c>
      <c r="E66" s="7" t="s">
        <v>1023</v>
      </c>
      <c r="F66" s="7" t="n">
        <v>0.9</v>
      </c>
      <c r="G66" s="97" t="s">
        <v>1244</v>
      </c>
      <c r="H66" s="120" t="s">
        <v>1278</v>
      </c>
      <c r="I66" s="121" t="s">
        <v>1279</v>
      </c>
      <c r="J66" s="7" t="n">
        <v>95</v>
      </c>
      <c r="K66" s="7" t="n">
        <v>165</v>
      </c>
      <c r="L66" s="7" t="n">
        <v>220</v>
      </c>
      <c r="M66" s="7" t="n">
        <v>240</v>
      </c>
      <c r="N66" s="7" t="n">
        <v>290</v>
      </c>
      <c r="O66" s="7" t="s">
        <v>1048</v>
      </c>
      <c r="P66" s="7"/>
      <c r="Q66" s="11" t="n">
        <v>1</v>
      </c>
      <c r="R66" s="11" t="n">
        <v>0.3</v>
      </c>
      <c r="S66" s="11" t="n">
        <v>0.4</v>
      </c>
      <c r="T66" s="11" t="n">
        <v>0.3</v>
      </c>
      <c r="U66" s="11" t="n">
        <v>0.05</v>
      </c>
      <c r="V66" s="11" t="n">
        <v>0.15</v>
      </c>
      <c r="W66" s="11" t="n">
        <v>0.4</v>
      </c>
      <c r="X66" s="11" t="n">
        <v>0.3</v>
      </c>
      <c r="Y66" s="7" t="n">
        <v>0</v>
      </c>
      <c r="Z66" s="7" t="n">
        <v>6</v>
      </c>
      <c r="AA66" s="7" t="s">
        <v>1058</v>
      </c>
      <c r="AB66" s="7" t="s">
        <v>1059</v>
      </c>
      <c r="AC66" s="7" t="n">
        <v>5</v>
      </c>
      <c r="AD66" s="7" t="n">
        <v>0.4</v>
      </c>
      <c r="AE66" s="7" t="s">
        <v>1043</v>
      </c>
      <c r="AF66" s="7" t="s">
        <v>1031</v>
      </c>
      <c r="AG66" s="7" t="s">
        <v>1280</v>
      </c>
    </row>
    <row r="67" customFormat="false" ht="15" hidden="false" customHeight="false" outlineLevel="0" collapsed="false">
      <c r="A67" s="7" t="s">
        <v>663</v>
      </c>
      <c r="B67" s="7" t="s">
        <v>662</v>
      </c>
      <c r="C67" s="7" t="s">
        <v>1021</v>
      </c>
      <c r="D67" s="7" t="s">
        <v>1052</v>
      </c>
      <c r="E67" s="7" t="s">
        <v>1023</v>
      </c>
      <c r="F67" s="7" t="n">
        <v>1</v>
      </c>
      <c r="G67" s="122" t="s">
        <v>1281</v>
      </c>
      <c r="H67" s="123" t="s">
        <v>1282</v>
      </c>
      <c r="I67" s="110" t="s">
        <v>1283</v>
      </c>
      <c r="J67" s="7" t="n">
        <v>100</v>
      </c>
      <c r="K67" s="7" t="n">
        <v>180</v>
      </c>
      <c r="L67" s="7" t="n">
        <v>230</v>
      </c>
      <c r="M67" s="7" t="n">
        <v>250</v>
      </c>
      <c r="N67" s="7" t="n">
        <v>300</v>
      </c>
      <c r="O67" s="7" t="s">
        <v>1048</v>
      </c>
      <c r="P67" s="7"/>
      <c r="Q67" s="11" t="n">
        <v>1</v>
      </c>
      <c r="R67" s="11" t="n">
        <v>0.25</v>
      </c>
      <c r="S67" s="11" t="n">
        <v>0.4</v>
      </c>
      <c r="T67" s="11" t="n">
        <v>0.3</v>
      </c>
      <c r="U67" s="11" t="n">
        <v>0.03</v>
      </c>
      <c r="V67" s="11" t="n">
        <v>0.15</v>
      </c>
      <c r="W67" s="11" t="n">
        <v>0.3</v>
      </c>
      <c r="X67" s="11" t="n">
        <v>0.25</v>
      </c>
      <c r="Y67" s="7" t="n">
        <v>0</v>
      </c>
      <c r="Z67" s="7" t="n">
        <v>8</v>
      </c>
      <c r="AA67" s="7" t="s">
        <v>1058</v>
      </c>
      <c r="AB67" s="7" t="s">
        <v>1059</v>
      </c>
      <c r="AC67" s="7" t="n">
        <v>4</v>
      </c>
      <c r="AD67" s="7" t="n">
        <v>0.35</v>
      </c>
      <c r="AE67" s="7" t="s">
        <v>1043</v>
      </c>
      <c r="AF67" s="7" t="s">
        <v>1050</v>
      </c>
      <c r="AG67" s="7" t="s">
        <v>1284</v>
      </c>
    </row>
    <row r="68" customFormat="false" ht="15" hidden="false" customHeight="false" outlineLevel="0" collapsed="false">
      <c r="A68" s="7" t="s">
        <v>652</v>
      </c>
      <c r="B68" s="7" t="s">
        <v>651</v>
      </c>
      <c r="C68" s="7" t="s">
        <v>1021</v>
      </c>
      <c r="D68" s="7" t="s">
        <v>1022</v>
      </c>
      <c r="E68" s="7" t="s">
        <v>1023</v>
      </c>
      <c r="F68" s="7" t="n">
        <v>2.2</v>
      </c>
      <c r="G68" s="8" t="s">
        <v>1285</v>
      </c>
      <c r="H68" s="124" t="s">
        <v>1286</v>
      </c>
      <c r="I68" s="113" t="s">
        <v>1287</v>
      </c>
      <c r="J68" s="7" t="n">
        <v>105</v>
      </c>
      <c r="K68" s="7" t="n">
        <v>190</v>
      </c>
      <c r="L68" s="7" t="n">
        <v>240</v>
      </c>
      <c r="M68" s="7" t="n">
        <v>260</v>
      </c>
      <c r="N68" s="7" t="n">
        <v>300</v>
      </c>
      <c r="O68" s="7" t="s">
        <v>1048</v>
      </c>
      <c r="P68" s="7"/>
      <c r="Q68" s="11" t="n">
        <v>1</v>
      </c>
      <c r="R68" s="11" t="n">
        <v>0.25</v>
      </c>
      <c r="S68" s="11" t="n">
        <v>0.4</v>
      </c>
      <c r="T68" s="11" t="n">
        <v>0.3</v>
      </c>
      <c r="U68" s="11" t="n">
        <v>0.03</v>
      </c>
      <c r="V68" s="11" t="n">
        <v>0.15</v>
      </c>
      <c r="W68" s="11" t="n">
        <v>0.3</v>
      </c>
      <c r="X68" s="11" t="n">
        <v>0.25</v>
      </c>
      <c r="Y68" s="7" t="n">
        <v>0</v>
      </c>
      <c r="Z68" s="7" t="n">
        <v>8</v>
      </c>
      <c r="AA68" s="7" t="s">
        <v>1058</v>
      </c>
      <c r="AB68" s="7" t="s">
        <v>1059</v>
      </c>
      <c r="AC68" s="7" t="n">
        <v>6</v>
      </c>
      <c r="AD68" s="7" t="n">
        <v>0.25</v>
      </c>
      <c r="AE68" s="7" t="s">
        <v>1043</v>
      </c>
      <c r="AF68" s="7" t="s">
        <v>1031</v>
      </c>
      <c r="AG68" s="7" t="s">
        <v>1288</v>
      </c>
    </row>
    <row r="69" customFormat="false" ht="15" hidden="false" customHeight="false" outlineLevel="0" collapsed="false">
      <c r="A69" s="7" t="s">
        <v>458</v>
      </c>
      <c r="B69" s="7" t="s">
        <v>1289</v>
      </c>
      <c r="C69" s="7" t="s">
        <v>1021</v>
      </c>
      <c r="D69" s="7" t="s">
        <v>1290</v>
      </c>
      <c r="E69" s="7" t="s">
        <v>1291</v>
      </c>
      <c r="F69" s="7" t="n">
        <v>8</v>
      </c>
      <c r="G69" s="81" t="s">
        <v>1178</v>
      </c>
      <c r="H69" s="125" t="s">
        <v>1292</v>
      </c>
      <c r="I69" s="126" t="s">
        <v>1293</v>
      </c>
      <c r="J69" s="7" t="n">
        <v>105</v>
      </c>
      <c r="K69" s="7" t="n">
        <v>90</v>
      </c>
      <c r="L69" s="7" t="n">
        <v>110</v>
      </c>
      <c r="M69" s="7" t="n">
        <v>230</v>
      </c>
      <c r="N69" s="7" t="n">
        <v>300</v>
      </c>
      <c r="O69" s="7" t="s">
        <v>1294</v>
      </c>
      <c r="P69" s="7" t="s">
        <v>1295</v>
      </c>
      <c r="Q69" s="11" t="n">
        <v>0.85</v>
      </c>
      <c r="R69" s="11" t="n">
        <v>0.4</v>
      </c>
      <c r="S69" s="11" t="n">
        <v>0.4</v>
      </c>
      <c r="T69" s="11" t="n">
        <v>0.3</v>
      </c>
      <c r="U69" s="11" t="n">
        <v>0.15</v>
      </c>
      <c r="V69" s="11" t="n">
        <v>0.25</v>
      </c>
      <c r="W69" s="11" t="n">
        <v>0.4</v>
      </c>
      <c r="X69" s="11" t="n">
        <v>0.3</v>
      </c>
      <c r="Y69" s="7" t="n">
        <v>0</v>
      </c>
      <c r="Z69" s="7" t="n">
        <v>2</v>
      </c>
      <c r="AA69" s="7" t="s">
        <v>1058</v>
      </c>
      <c r="AB69" s="7" t="s">
        <v>1149</v>
      </c>
      <c r="AC69" s="7" t="n">
        <v>6</v>
      </c>
      <c r="AD69" s="7" t="n">
        <v>0.5</v>
      </c>
      <c r="AE69" s="7" t="s">
        <v>1043</v>
      </c>
      <c r="AF69" s="7" t="s">
        <v>1274</v>
      </c>
      <c r="AG69" s="7" t="s">
        <v>1296</v>
      </c>
    </row>
    <row r="70" customFormat="false" ht="15" hidden="false" customHeight="false" outlineLevel="0" collapsed="false">
      <c r="A70" s="7" t="s">
        <v>168</v>
      </c>
      <c r="B70" s="7" t="s">
        <v>167</v>
      </c>
      <c r="C70" s="7" t="s">
        <v>1021</v>
      </c>
      <c r="D70" s="7" t="s">
        <v>1290</v>
      </c>
      <c r="E70" s="7" t="s">
        <v>1291</v>
      </c>
      <c r="F70" s="7" t="n">
        <v>10</v>
      </c>
      <c r="G70" s="55" t="s">
        <v>1146</v>
      </c>
      <c r="H70" s="127" t="s">
        <v>1297</v>
      </c>
      <c r="I70" s="128" t="s">
        <v>1298</v>
      </c>
      <c r="J70" s="7" t="n">
        <v>115</v>
      </c>
      <c r="K70" s="7" t="n">
        <v>140</v>
      </c>
      <c r="L70" s="7" t="n">
        <v>160</v>
      </c>
      <c r="M70" s="7" t="n">
        <v>285</v>
      </c>
      <c r="N70" s="7" t="n">
        <v>310</v>
      </c>
      <c r="O70" s="7" t="s">
        <v>1294</v>
      </c>
      <c r="P70" s="7" t="s">
        <v>1295</v>
      </c>
      <c r="Q70" s="11" t="n">
        <v>0.9</v>
      </c>
      <c r="R70" s="11" t="n">
        <v>0.4</v>
      </c>
      <c r="S70" s="11" t="n">
        <v>0.45</v>
      </c>
      <c r="T70" s="11" t="n">
        <v>0.35</v>
      </c>
      <c r="U70" s="11" t="n">
        <v>0.15</v>
      </c>
      <c r="V70" s="11" t="n">
        <v>0.25</v>
      </c>
      <c r="W70" s="11" t="n">
        <v>0.4</v>
      </c>
      <c r="X70" s="11" t="n">
        <v>0.3</v>
      </c>
      <c r="Y70" s="7" t="n">
        <v>0</v>
      </c>
      <c r="Z70" s="7" t="n">
        <v>2</v>
      </c>
      <c r="AA70" s="7" t="s">
        <v>1058</v>
      </c>
      <c r="AB70" s="7" t="s">
        <v>1065</v>
      </c>
      <c r="AC70" s="7" t="n">
        <v>6</v>
      </c>
      <c r="AD70" s="7" t="n">
        <v>0.35</v>
      </c>
      <c r="AE70" s="7" t="s">
        <v>1043</v>
      </c>
      <c r="AF70" s="7" t="s">
        <v>1274</v>
      </c>
      <c r="AG70" s="7" t="s">
        <v>1299</v>
      </c>
    </row>
    <row r="71" customFormat="false" ht="15" hidden="false" customHeight="false" outlineLevel="0" collapsed="false">
      <c r="A71" s="7" t="s">
        <v>145</v>
      </c>
      <c r="B71" s="7" t="s">
        <v>144</v>
      </c>
      <c r="C71" s="7" t="s">
        <v>1021</v>
      </c>
      <c r="D71" s="7" t="s">
        <v>1300</v>
      </c>
      <c r="E71" s="7" t="s">
        <v>1291</v>
      </c>
      <c r="F71" s="7" t="n">
        <v>1.2</v>
      </c>
      <c r="G71" s="55" t="s">
        <v>1141</v>
      </c>
      <c r="H71" s="31" t="s">
        <v>1179</v>
      </c>
      <c r="I71" s="129" t="s">
        <v>1301</v>
      </c>
      <c r="J71" s="7" t="n">
        <v>80</v>
      </c>
      <c r="K71" s="7" t="n">
        <v>125</v>
      </c>
      <c r="L71" s="7" t="n">
        <v>145</v>
      </c>
      <c r="M71" s="7" t="n">
        <v>175</v>
      </c>
      <c r="N71" s="7" t="n">
        <v>330</v>
      </c>
      <c r="O71" s="7" t="s">
        <v>1048</v>
      </c>
      <c r="P71" s="7" t="s">
        <v>1302</v>
      </c>
      <c r="Q71" s="11" t="n">
        <v>0.75</v>
      </c>
      <c r="R71" s="11" t="n">
        <v>0.35</v>
      </c>
      <c r="S71" s="11" t="n">
        <v>0.5</v>
      </c>
      <c r="T71" s="11" t="n">
        <v>0.3</v>
      </c>
      <c r="U71" s="11" t="n">
        <v>0.25</v>
      </c>
      <c r="V71" s="11" t="n">
        <v>0.3</v>
      </c>
      <c r="W71" s="11" t="n">
        <v>0.55</v>
      </c>
      <c r="X71" s="11" t="n">
        <v>0.3</v>
      </c>
      <c r="Y71" s="7" t="n">
        <v>0</v>
      </c>
      <c r="Z71" s="7" t="n">
        <v>2</v>
      </c>
      <c r="AA71" s="7" t="s">
        <v>1058</v>
      </c>
      <c r="AB71" s="7" t="s">
        <v>1149</v>
      </c>
      <c r="AC71" s="7" t="n">
        <v>5</v>
      </c>
      <c r="AD71" s="7" t="n">
        <v>0.6</v>
      </c>
      <c r="AE71" s="7" t="s">
        <v>1043</v>
      </c>
      <c r="AF71" s="7" t="s">
        <v>1031</v>
      </c>
      <c r="AG71" s="7" t="s">
        <v>1303</v>
      </c>
    </row>
    <row r="72" customFormat="false" ht="15" hidden="false" customHeight="false" outlineLevel="0" collapsed="false">
      <c r="A72" s="7" t="s">
        <v>151</v>
      </c>
      <c r="B72" s="7" t="s">
        <v>1304</v>
      </c>
      <c r="C72" s="7" t="s">
        <v>1021</v>
      </c>
      <c r="D72" s="7" t="s">
        <v>1300</v>
      </c>
      <c r="E72" s="7" t="s">
        <v>1291</v>
      </c>
      <c r="F72" s="7" t="n">
        <v>1.5</v>
      </c>
      <c r="G72" s="68" t="s">
        <v>1156</v>
      </c>
      <c r="H72" s="31" t="s">
        <v>1179</v>
      </c>
      <c r="I72" s="130" t="s">
        <v>1305</v>
      </c>
      <c r="J72" s="7" t="n">
        <v>85</v>
      </c>
      <c r="K72" s="7" t="n">
        <v>140</v>
      </c>
      <c r="L72" s="7" t="n">
        <v>160</v>
      </c>
      <c r="M72" s="7" t="n">
        <v>200</v>
      </c>
      <c r="N72" s="7" t="n">
        <v>330</v>
      </c>
      <c r="O72" s="7" t="s">
        <v>1048</v>
      </c>
      <c r="P72" s="7" t="s">
        <v>1302</v>
      </c>
      <c r="Q72" s="11" t="n">
        <v>0.9</v>
      </c>
      <c r="R72" s="11" t="n">
        <v>0.35</v>
      </c>
      <c r="S72" s="11" t="n">
        <v>0.5</v>
      </c>
      <c r="T72" s="11" t="n">
        <v>0.3</v>
      </c>
      <c r="U72" s="11" t="n">
        <v>0.2</v>
      </c>
      <c r="V72" s="11" t="n">
        <v>0.3</v>
      </c>
      <c r="W72" s="11" t="n">
        <v>0.5</v>
      </c>
      <c r="X72" s="11" t="n">
        <v>0.3</v>
      </c>
      <c r="Y72" s="7" t="n">
        <v>0</v>
      </c>
      <c r="Z72" s="7" t="n">
        <v>2</v>
      </c>
      <c r="AA72" s="7" t="s">
        <v>1058</v>
      </c>
      <c r="AB72" s="7" t="s">
        <v>1149</v>
      </c>
      <c r="AC72" s="7" t="n">
        <v>7</v>
      </c>
      <c r="AD72" s="7" t="n">
        <v>0.65</v>
      </c>
      <c r="AE72" s="7" t="s">
        <v>1043</v>
      </c>
      <c r="AF72" s="7" t="s">
        <v>1031</v>
      </c>
      <c r="AG72" s="7" t="s">
        <v>1306</v>
      </c>
    </row>
    <row r="73" customFormat="false" ht="15" hidden="false" customHeight="false" outlineLevel="0" collapsed="false">
      <c r="A73" s="7" t="s">
        <v>503</v>
      </c>
      <c r="B73" s="7" t="s">
        <v>1307</v>
      </c>
      <c r="C73" s="7" t="s">
        <v>1021</v>
      </c>
      <c r="D73" s="7" t="s">
        <v>1308</v>
      </c>
      <c r="E73" s="7" t="s">
        <v>1291</v>
      </c>
      <c r="F73" s="7" t="n">
        <v>3</v>
      </c>
      <c r="G73" s="55" t="s">
        <v>1141</v>
      </c>
      <c r="H73" s="131" t="s">
        <v>1309</v>
      </c>
      <c r="I73" s="132" t="s">
        <v>1310</v>
      </c>
      <c r="J73" s="7" t="n">
        <v>120</v>
      </c>
      <c r="K73" s="7" t="n">
        <v>160</v>
      </c>
      <c r="L73" s="7" t="n">
        <v>180</v>
      </c>
      <c r="M73" s="7" t="n">
        <v>240</v>
      </c>
      <c r="N73" s="7" t="n">
        <v>285</v>
      </c>
      <c r="O73" s="7" t="s">
        <v>1294</v>
      </c>
      <c r="P73" s="7" t="s">
        <v>1311</v>
      </c>
      <c r="Q73" s="11" t="n">
        <v>1</v>
      </c>
      <c r="R73" s="11" t="n">
        <v>0.3</v>
      </c>
      <c r="S73" s="11" t="n">
        <v>0.3</v>
      </c>
      <c r="T73" s="11" t="n">
        <v>0.3</v>
      </c>
      <c r="U73" s="11" t="n">
        <v>0.15</v>
      </c>
      <c r="V73" s="11" t="n">
        <v>0.25</v>
      </c>
      <c r="W73" s="11" t="n">
        <v>0.3</v>
      </c>
      <c r="X73" s="11" t="n">
        <v>0.3</v>
      </c>
      <c r="Y73" s="7" t="n">
        <v>0</v>
      </c>
      <c r="Z73" s="7" t="n">
        <v>1</v>
      </c>
      <c r="AA73" s="7" t="s">
        <v>1058</v>
      </c>
      <c r="AB73" s="7" t="s">
        <v>1149</v>
      </c>
      <c r="AC73" s="7" t="n">
        <v>10</v>
      </c>
      <c r="AD73" s="7" t="n">
        <v>0.45</v>
      </c>
      <c r="AE73" s="7" t="s">
        <v>1043</v>
      </c>
      <c r="AF73" s="7" t="s">
        <v>1060</v>
      </c>
      <c r="AG73" s="7" t="s">
        <v>1312</v>
      </c>
    </row>
    <row r="74" customFormat="false" ht="15" hidden="false" customHeight="false" outlineLevel="0" collapsed="false">
      <c r="A74" s="7" t="s">
        <v>612</v>
      </c>
      <c r="B74" s="7" t="s">
        <v>611</v>
      </c>
      <c r="C74" s="7" t="s">
        <v>1021</v>
      </c>
      <c r="D74" s="7" t="s">
        <v>1290</v>
      </c>
      <c r="E74" s="7" t="s">
        <v>1291</v>
      </c>
      <c r="F74" s="7" t="n">
        <v>9</v>
      </c>
      <c r="G74" s="133" t="s">
        <v>1313</v>
      </c>
      <c r="H74" s="41" t="s">
        <v>1314</v>
      </c>
      <c r="I74" s="134" t="s">
        <v>1315</v>
      </c>
      <c r="J74" s="7" t="n">
        <v>1</v>
      </c>
      <c r="K74" s="7" t="n">
        <v>60</v>
      </c>
      <c r="L74" s="7" t="n">
        <v>90</v>
      </c>
      <c r="M74" s="7" t="n">
        <v>300</v>
      </c>
      <c r="N74" s="7" t="n">
        <v>999</v>
      </c>
      <c r="O74" s="7" t="s">
        <v>1186</v>
      </c>
      <c r="P74" s="7" t="s">
        <v>1316</v>
      </c>
      <c r="Q74" s="11" t="n">
        <v>0.95</v>
      </c>
      <c r="R74" s="11" t="n">
        <v>0.4</v>
      </c>
      <c r="S74" s="11" t="n">
        <v>0.3</v>
      </c>
      <c r="T74" s="11" t="n">
        <v>0.35</v>
      </c>
      <c r="U74" s="11" t="n">
        <v>0.15</v>
      </c>
      <c r="V74" s="11" t="n">
        <v>0.25</v>
      </c>
      <c r="W74" s="11" t="n">
        <v>0.35</v>
      </c>
      <c r="X74" s="11" t="n">
        <v>0.3</v>
      </c>
      <c r="Y74" s="7" t="n">
        <v>0</v>
      </c>
      <c r="Z74" s="7" t="n">
        <v>0</v>
      </c>
      <c r="AA74" s="7" t="s">
        <v>1058</v>
      </c>
      <c r="AB74" s="7" t="s">
        <v>1149</v>
      </c>
      <c r="AC74" s="7" t="n">
        <v>6</v>
      </c>
      <c r="AD74" s="7" t="n">
        <v>0.85</v>
      </c>
      <c r="AE74" s="7" t="s">
        <v>1043</v>
      </c>
      <c r="AF74" s="7" t="s">
        <v>1274</v>
      </c>
      <c r="AG74" s="7" t="s">
        <v>1317</v>
      </c>
    </row>
    <row r="75" customFormat="false" ht="15" hidden="false" customHeight="false" outlineLevel="0" collapsed="false">
      <c r="A75" s="7" t="s">
        <v>527</v>
      </c>
      <c r="B75" s="7" t="s">
        <v>1318</v>
      </c>
      <c r="C75" s="7" t="s">
        <v>1021</v>
      </c>
      <c r="D75" s="7" t="s">
        <v>1300</v>
      </c>
      <c r="E75" s="7" t="s">
        <v>1291</v>
      </c>
      <c r="F75" s="7" t="n">
        <v>0.7</v>
      </c>
      <c r="G75" s="55" t="s">
        <v>1141</v>
      </c>
      <c r="H75" s="135" t="s">
        <v>1319</v>
      </c>
      <c r="I75" s="132" t="s">
        <v>1320</v>
      </c>
      <c r="J75" s="7" t="n">
        <v>100</v>
      </c>
      <c r="K75" s="7" t="n">
        <v>140</v>
      </c>
      <c r="L75" s="7" t="n">
        <v>170</v>
      </c>
      <c r="M75" s="7" t="n">
        <v>250</v>
      </c>
      <c r="N75" s="7" t="n">
        <v>310</v>
      </c>
      <c r="O75" s="7" t="s">
        <v>1048</v>
      </c>
      <c r="P75" s="7" t="s">
        <v>1302</v>
      </c>
      <c r="Q75" s="11" t="n">
        <v>0.9</v>
      </c>
      <c r="R75" s="11" t="n">
        <v>0.35</v>
      </c>
      <c r="S75" s="11" t="n">
        <v>0.4</v>
      </c>
      <c r="T75" s="11" t="n">
        <v>0.3</v>
      </c>
      <c r="U75" s="11" t="n">
        <v>0.1</v>
      </c>
      <c r="V75" s="11" t="n">
        <v>0.25</v>
      </c>
      <c r="W75" s="11" t="n">
        <v>0.35</v>
      </c>
      <c r="X75" s="11" t="n">
        <v>0.3</v>
      </c>
      <c r="Y75" s="7" t="n">
        <v>0</v>
      </c>
      <c r="Z75" s="7" t="n">
        <v>4</v>
      </c>
      <c r="AA75" s="7" t="s">
        <v>1058</v>
      </c>
      <c r="AB75" s="7" t="s">
        <v>1149</v>
      </c>
      <c r="AC75" s="7" t="n">
        <v>5</v>
      </c>
      <c r="AD75" s="7" t="n">
        <v>0.35</v>
      </c>
      <c r="AE75" s="7" t="s">
        <v>1043</v>
      </c>
      <c r="AF75" s="7" t="s">
        <v>1031</v>
      </c>
      <c r="AG75" s="7" t="s">
        <v>1321</v>
      </c>
    </row>
    <row r="76" customFormat="false" ht="15" hidden="false" customHeight="false" outlineLevel="0" collapsed="false">
      <c r="A76" s="7" t="s">
        <v>507</v>
      </c>
      <c r="B76" s="7" t="s">
        <v>506</v>
      </c>
      <c r="C76" s="7" t="s">
        <v>1021</v>
      </c>
      <c r="D76" s="7" t="s">
        <v>1204</v>
      </c>
      <c r="E76" s="7" t="s">
        <v>1291</v>
      </c>
      <c r="F76" s="7" t="n">
        <v>0.8</v>
      </c>
      <c r="G76" s="68" t="s">
        <v>1156</v>
      </c>
      <c r="H76" s="136" t="s">
        <v>1322</v>
      </c>
      <c r="I76" s="67" t="s">
        <v>1153</v>
      </c>
      <c r="J76" s="7" t="n">
        <v>105</v>
      </c>
      <c r="K76" s="7" t="n">
        <v>135</v>
      </c>
      <c r="L76" s="7" t="n">
        <v>150</v>
      </c>
      <c r="M76" s="7" t="n">
        <v>250</v>
      </c>
      <c r="N76" s="7" t="n">
        <v>290</v>
      </c>
      <c r="O76" s="7" t="s">
        <v>1048</v>
      </c>
      <c r="P76" s="7"/>
      <c r="Q76" s="11" t="n">
        <v>0.6</v>
      </c>
      <c r="R76" s="11" t="n">
        <v>0.4</v>
      </c>
      <c r="S76" s="11" t="n">
        <v>0.5</v>
      </c>
      <c r="T76" s="11" t="n">
        <v>0.35</v>
      </c>
      <c r="U76" s="11" t="n">
        <v>0.2</v>
      </c>
      <c r="V76" s="11" t="n">
        <v>0.3</v>
      </c>
      <c r="W76" s="11" t="n">
        <v>0.55</v>
      </c>
      <c r="X76" s="11" t="n">
        <v>0.3</v>
      </c>
      <c r="Y76" s="7" t="n">
        <v>0</v>
      </c>
      <c r="Z76" s="7" t="n">
        <v>1</v>
      </c>
      <c r="AA76" s="7" t="s">
        <v>1058</v>
      </c>
      <c r="AB76" s="7" t="s">
        <v>1149</v>
      </c>
      <c r="AC76" s="7" t="n">
        <v>6</v>
      </c>
      <c r="AD76" s="7" t="n">
        <v>0.55</v>
      </c>
      <c r="AE76" s="7" t="s">
        <v>1043</v>
      </c>
      <c r="AF76" s="7" t="s">
        <v>1274</v>
      </c>
      <c r="AG76" s="7" t="s">
        <v>1323</v>
      </c>
    </row>
    <row r="77" customFormat="false" ht="15" hidden="false" customHeight="false" outlineLevel="0" collapsed="false">
      <c r="A77" s="7" t="s">
        <v>705</v>
      </c>
      <c r="B77" s="7" t="s">
        <v>704</v>
      </c>
      <c r="C77" s="7" t="s">
        <v>1021</v>
      </c>
      <c r="D77" s="7" t="s">
        <v>1204</v>
      </c>
      <c r="E77" s="7" t="s">
        <v>1291</v>
      </c>
      <c r="F77" s="7" t="n">
        <v>0.6</v>
      </c>
      <c r="G77" s="55" t="s">
        <v>1141</v>
      </c>
      <c r="H77" s="137" t="s">
        <v>1324</v>
      </c>
      <c r="I77" s="113" t="s">
        <v>1252</v>
      </c>
      <c r="J77" s="7" t="n">
        <v>105</v>
      </c>
      <c r="K77" s="7" t="n">
        <v>160</v>
      </c>
      <c r="L77" s="7" t="n">
        <v>180</v>
      </c>
      <c r="M77" s="7" t="n">
        <v>255</v>
      </c>
      <c r="N77" s="7" t="n">
        <v>290</v>
      </c>
      <c r="O77" s="7" t="s">
        <v>1057</v>
      </c>
      <c r="P77" s="7"/>
      <c r="Q77" s="11" t="n">
        <v>0.55</v>
      </c>
      <c r="R77" s="11" t="n">
        <v>0.4</v>
      </c>
      <c r="S77" s="11" t="n">
        <v>0.5</v>
      </c>
      <c r="T77" s="11" t="n">
        <v>0.3</v>
      </c>
      <c r="U77" s="11" t="n">
        <v>0.2</v>
      </c>
      <c r="V77" s="11" t="n">
        <v>0.3</v>
      </c>
      <c r="W77" s="11" t="n">
        <v>0.55</v>
      </c>
      <c r="X77" s="11" t="n">
        <v>0.3</v>
      </c>
      <c r="Y77" s="7" t="n">
        <v>0</v>
      </c>
      <c r="Z77" s="7" t="n">
        <v>2</v>
      </c>
      <c r="AA77" s="7" t="s">
        <v>1058</v>
      </c>
      <c r="AB77" s="7" t="s">
        <v>1149</v>
      </c>
      <c r="AC77" s="7" t="n">
        <v>6</v>
      </c>
      <c r="AD77" s="7" t="n">
        <v>0.45</v>
      </c>
      <c r="AE77" s="7" t="s">
        <v>1043</v>
      </c>
      <c r="AF77" s="7" t="s">
        <v>1274</v>
      </c>
      <c r="AG77" s="7" t="s">
        <v>1325</v>
      </c>
    </row>
    <row r="78" customFormat="false" ht="15" hidden="false" customHeight="false" outlineLevel="0" collapsed="false">
      <c r="A78" s="7" t="s">
        <v>138</v>
      </c>
      <c r="B78" s="7" t="s">
        <v>137</v>
      </c>
      <c r="C78" s="7" t="s">
        <v>1021</v>
      </c>
      <c r="D78" s="7" t="s">
        <v>1204</v>
      </c>
      <c r="E78" s="7" t="s">
        <v>1291</v>
      </c>
      <c r="F78" s="7" t="n">
        <v>1.2</v>
      </c>
      <c r="G78" s="81" t="s">
        <v>1178</v>
      </c>
      <c r="H78" s="131" t="s">
        <v>1326</v>
      </c>
      <c r="I78" s="138" t="s">
        <v>1327</v>
      </c>
      <c r="J78" s="7" t="n">
        <v>105</v>
      </c>
      <c r="K78" s="7" t="n">
        <v>140</v>
      </c>
      <c r="L78" s="7" t="n">
        <v>155</v>
      </c>
      <c r="M78" s="7" t="n">
        <v>245</v>
      </c>
      <c r="N78" s="7" t="n">
        <v>295</v>
      </c>
      <c r="O78" s="7" t="s">
        <v>1048</v>
      </c>
      <c r="P78" s="7"/>
      <c r="Q78" s="11" t="n">
        <v>0.8</v>
      </c>
      <c r="R78" s="11" t="n">
        <v>0.4</v>
      </c>
      <c r="S78" s="11" t="n">
        <v>0.6</v>
      </c>
      <c r="T78" s="11" t="n">
        <v>0.3</v>
      </c>
      <c r="U78" s="11" t="n">
        <v>0.2</v>
      </c>
      <c r="V78" s="11" t="n">
        <v>0.3</v>
      </c>
      <c r="W78" s="11" t="n">
        <v>0.55</v>
      </c>
      <c r="X78" s="11" t="n">
        <v>0.3</v>
      </c>
      <c r="Y78" s="7" t="n">
        <v>0</v>
      </c>
      <c r="Z78" s="7" t="n">
        <v>2</v>
      </c>
      <c r="AA78" s="7" t="s">
        <v>1058</v>
      </c>
      <c r="AB78" s="7" t="s">
        <v>1149</v>
      </c>
      <c r="AC78" s="7" t="n">
        <v>7</v>
      </c>
      <c r="AD78" s="7" t="n">
        <v>0.45</v>
      </c>
      <c r="AE78" s="7" t="s">
        <v>1043</v>
      </c>
      <c r="AF78" s="7" t="s">
        <v>1274</v>
      </c>
      <c r="AG78" s="7" t="s">
        <v>1328</v>
      </c>
    </row>
    <row r="79" customFormat="false" ht="15" hidden="false" customHeight="false" outlineLevel="0" collapsed="false">
      <c r="A79" s="7" t="s">
        <v>484</v>
      </c>
      <c r="B79" s="7" t="s">
        <v>1329</v>
      </c>
      <c r="C79" s="7" t="s">
        <v>1021</v>
      </c>
      <c r="D79" s="7" t="s">
        <v>1290</v>
      </c>
      <c r="E79" s="7" t="s">
        <v>1291</v>
      </c>
      <c r="F79" s="7" t="n">
        <v>10</v>
      </c>
      <c r="G79" s="68" t="s">
        <v>1156</v>
      </c>
      <c r="H79" s="31" t="s">
        <v>1179</v>
      </c>
      <c r="I79" s="139" t="s">
        <v>1330</v>
      </c>
      <c r="J79" s="7" t="n">
        <v>100</v>
      </c>
      <c r="K79" s="7" t="n">
        <v>115</v>
      </c>
      <c r="L79" s="7" t="n">
        <v>130</v>
      </c>
      <c r="M79" s="7" t="n">
        <v>205</v>
      </c>
      <c r="N79" s="7" t="n">
        <v>295</v>
      </c>
      <c r="O79" s="7" t="s">
        <v>1294</v>
      </c>
      <c r="P79" s="7" t="s">
        <v>1295</v>
      </c>
      <c r="Q79" s="11" t="n">
        <v>0.85</v>
      </c>
      <c r="R79" s="11" t="n">
        <v>0.4</v>
      </c>
      <c r="S79" s="11" t="n">
        <v>0.45</v>
      </c>
      <c r="T79" s="11" t="n">
        <v>0.3</v>
      </c>
      <c r="U79" s="11" t="n">
        <v>0.15</v>
      </c>
      <c r="V79" s="11" t="n">
        <v>0.25</v>
      </c>
      <c r="W79" s="11" t="n">
        <v>0.5</v>
      </c>
      <c r="X79" s="11" t="n">
        <v>0.3</v>
      </c>
      <c r="Y79" s="7" t="n">
        <v>0</v>
      </c>
      <c r="Z79" s="7" t="n">
        <v>1</v>
      </c>
      <c r="AA79" s="7" t="s">
        <v>1058</v>
      </c>
      <c r="AB79" s="7" t="s">
        <v>1149</v>
      </c>
      <c r="AC79" s="7" t="n">
        <v>6</v>
      </c>
      <c r="AD79" s="7" t="n">
        <v>0.55</v>
      </c>
      <c r="AE79" s="7" t="s">
        <v>1043</v>
      </c>
      <c r="AF79" s="7" t="s">
        <v>1274</v>
      </c>
      <c r="AG79" s="7" t="s">
        <v>1331</v>
      </c>
    </row>
    <row r="80" customFormat="false" ht="15" hidden="false" customHeight="false" outlineLevel="0" collapsed="false">
      <c r="A80" s="7" t="s">
        <v>521</v>
      </c>
      <c r="B80" s="7" t="s">
        <v>520</v>
      </c>
      <c r="C80" s="7" t="s">
        <v>1021</v>
      </c>
      <c r="D80" s="7" t="s">
        <v>1290</v>
      </c>
      <c r="E80" s="7" t="s">
        <v>1291</v>
      </c>
      <c r="F80" s="7" t="n">
        <v>6</v>
      </c>
      <c r="G80" s="55" t="s">
        <v>1141</v>
      </c>
      <c r="H80" s="31" t="s">
        <v>1179</v>
      </c>
      <c r="I80" s="140" t="s">
        <v>1332</v>
      </c>
      <c r="J80" s="7" t="n">
        <v>95</v>
      </c>
      <c r="K80" s="7" t="n">
        <v>110</v>
      </c>
      <c r="L80" s="7" t="n">
        <v>125</v>
      </c>
      <c r="M80" s="7" t="n">
        <v>260</v>
      </c>
      <c r="N80" s="7" t="n">
        <v>300</v>
      </c>
      <c r="O80" s="7" t="s">
        <v>1294</v>
      </c>
      <c r="P80" s="7" t="s">
        <v>1333</v>
      </c>
      <c r="Q80" s="11" t="n">
        <v>0.9</v>
      </c>
      <c r="R80" s="11" t="n">
        <v>0.35</v>
      </c>
      <c r="S80" s="11" t="n">
        <v>0.5</v>
      </c>
      <c r="T80" s="11" t="n">
        <v>0.3</v>
      </c>
      <c r="U80" s="11" t="n">
        <v>0.15</v>
      </c>
      <c r="V80" s="11" t="n">
        <v>0.25</v>
      </c>
      <c r="W80" s="11" t="n">
        <v>0.45</v>
      </c>
      <c r="X80" s="11" t="n">
        <v>0.3</v>
      </c>
      <c r="Y80" s="7" t="n">
        <v>0</v>
      </c>
      <c r="Z80" s="7" t="n">
        <v>3</v>
      </c>
      <c r="AA80" s="7" t="s">
        <v>1058</v>
      </c>
      <c r="AB80" s="7" t="s">
        <v>1149</v>
      </c>
      <c r="AC80" s="7" t="n">
        <v>5</v>
      </c>
      <c r="AD80" s="7" t="n">
        <v>0.4</v>
      </c>
      <c r="AE80" s="7" t="s">
        <v>1043</v>
      </c>
      <c r="AF80" s="7" t="s">
        <v>1050</v>
      </c>
      <c r="AG80" s="7" t="s">
        <v>1334</v>
      </c>
    </row>
    <row r="81" customFormat="false" ht="15" hidden="false" customHeight="false" outlineLevel="0" collapsed="false">
      <c r="A81" s="7" t="s">
        <v>157</v>
      </c>
      <c r="B81" s="7" t="s">
        <v>156</v>
      </c>
      <c r="C81" s="7" t="s">
        <v>1021</v>
      </c>
      <c r="D81" s="7" t="s">
        <v>1290</v>
      </c>
      <c r="E81" s="7" t="s">
        <v>1291</v>
      </c>
      <c r="F81" s="7" t="n">
        <v>9</v>
      </c>
      <c r="G81" s="55" t="s">
        <v>1141</v>
      </c>
      <c r="H81" s="137" t="s">
        <v>1324</v>
      </c>
      <c r="I81" s="140" t="s">
        <v>1332</v>
      </c>
      <c r="J81" s="7" t="n">
        <v>105</v>
      </c>
      <c r="K81" s="7" t="n">
        <v>105</v>
      </c>
      <c r="L81" s="7" t="n">
        <v>120</v>
      </c>
      <c r="M81" s="7" t="n">
        <v>165</v>
      </c>
      <c r="N81" s="7" t="n">
        <v>300</v>
      </c>
      <c r="O81" s="7" t="s">
        <v>1294</v>
      </c>
      <c r="P81" s="7" t="s">
        <v>1333</v>
      </c>
      <c r="Q81" s="11" t="n">
        <v>0.7</v>
      </c>
      <c r="R81" s="11" t="n">
        <v>0.4</v>
      </c>
      <c r="S81" s="11" t="n">
        <v>0.55</v>
      </c>
      <c r="T81" s="11" t="n">
        <v>0.3</v>
      </c>
      <c r="U81" s="11" t="n">
        <v>0.15</v>
      </c>
      <c r="V81" s="11" t="n">
        <v>0.25</v>
      </c>
      <c r="W81" s="11" t="n">
        <v>0.6</v>
      </c>
      <c r="X81" s="11" t="n">
        <v>0.3</v>
      </c>
      <c r="Y81" s="7" t="n">
        <v>0</v>
      </c>
      <c r="Z81" s="7" t="n">
        <v>5</v>
      </c>
      <c r="AA81" s="7" t="s">
        <v>1058</v>
      </c>
      <c r="AB81" s="7" t="s">
        <v>1149</v>
      </c>
      <c r="AC81" s="7" t="n">
        <v>5</v>
      </c>
      <c r="AD81" s="7" t="n">
        <v>0.3</v>
      </c>
      <c r="AE81" s="7" t="s">
        <v>1043</v>
      </c>
      <c r="AF81" s="7" t="s">
        <v>1274</v>
      </c>
      <c r="AG81" s="7" t="s">
        <v>1335</v>
      </c>
    </row>
    <row r="82" customFormat="false" ht="15" hidden="false" customHeight="false" outlineLevel="0" collapsed="false">
      <c r="A82" s="7" t="s">
        <v>182</v>
      </c>
      <c r="B82" s="7" t="s">
        <v>1336</v>
      </c>
      <c r="C82" s="7" t="s">
        <v>1021</v>
      </c>
      <c r="D82" s="7" t="s">
        <v>1290</v>
      </c>
      <c r="E82" s="7" t="s">
        <v>1291</v>
      </c>
      <c r="F82" s="7" t="n">
        <v>15</v>
      </c>
      <c r="G82" s="81" t="s">
        <v>1178</v>
      </c>
      <c r="H82" s="141" t="s">
        <v>1337</v>
      </c>
      <c r="I82" s="121" t="s">
        <v>1338</v>
      </c>
      <c r="J82" s="7" t="n">
        <v>125</v>
      </c>
      <c r="K82" s="7" t="n">
        <v>125</v>
      </c>
      <c r="L82" s="7" t="n">
        <v>140</v>
      </c>
      <c r="M82" s="7" t="n">
        <v>265</v>
      </c>
      <c r="N82" s="7" t="n">
        <v>285</v>
      </c>
      <c r="O82" s="7" t="s">
        <v>1294</v>
      </c>
      <c r="P82" s="7" t="s">
        <v>1333</v>
      </c>
      <c r="Q82" s="11" t="n">
        <v>0.8</v>
      </c>
      <c r="R82" s="11" t="n">
        <v>0.4</v>
      </c>
      <c r="S82" s="11" t="n">
        <v>0.6</v>
      </c>
      <c r="T82" s="11" t="n">
        <v>0.3</v>
      </c>
      <c r="U82" s="11" t="n">
        <v>0.1</v>
      </c>
      <c r="V82" s="11" t="n">
        <v>0.25</v>
      </c>
      <c r="W82" s="11" t="n">
        <v>0.7</v>
      </c>
      <c r="X82" s="11" t="n">
        <v>0.3</v>
      </c>
      <c r="Y82" s="7" t="n">
        <v>0</v>
      </c>
      <c r="Z82" s="7" t="n">
        <v>4</v>
      </c>
      <c r="AA82" s="7" t="s">
        <v>1058</v>
      </c>
      <c r="AB82" s="7" t="s">
        <v>1339</v>
      </c>
      <c r="AC82" s="7" t="n">
        <v>8</v>
      </c>
      <c r="AD82" s="7" t="n">
        <v>0.45</v>
      </c>
      <c r="AE82" s="7" t="s">
        <v>1043</v>
      </c>
      <c r="AF82" s="7" t="s">
        <v>1274</v>
      </c>
      <c r="AG82" s="7" t="s">
        <v>1340</v>
      </c>
    </row>
    <row r="83" customFormat="false" ht="15" hidden="false" customHeight="false" outlineLevel="0" collapsed="false">
      <c r="A83" s="7" t="s">
        <v>174</v>
      </c>
      <c r="B83" s="7" t="s">
        <v>1341</v>
      </c>
      <c r="C83" s="7" t="s">
        <v>1021</v>
      </c>
      <c r="D83" s="7" t="s">
        <v>1290</v>
      </c>
      <c r="E83" s="7" t="s">
        <v>1291</v>
      </c>
      <c r="F83" s="7" t="n">
        <v>18</v>
      </c>
      <c r="G83" s="55" t="s">
        <v>1141</v>
      </c>
      <c r="H83" s="141" t="s">
        <v>1337</v>
      </c>
      <c r="I83" s="80" t="s">
        <v>1342</v>
      </c>
      <c r="J83" s="7" t="n">
        <v>110</v>
      </c>
      <c r="K83" s="7" t="n">
        <v>120</v>
      </c>
      <c r="L83" s="7" t="n">
        <v>135</v>
      </c>
      <c r="M83" s="7" t="n">
        <v>275</v>
      </c>
      <c r="N83" s="7" t="n">
        <v>295</v>
      </c>
      <c r="O83" s="7" t="s">
        <v>1294</v>
      </c>
      <c r="P83" s="7" t="s">
        <v>1295</v>
      </c>
      <c r="Q83" s="11" t="n">
        <v>0.6</v>
      </c>
      <c r="R83" s="11" t="n">
        <v>0.4</v>
      </c>
      <c r="S83" s="11" t="n">
        <v>0.45</v>
      </c>
      <c r="T83" s="11" t="n">
        <v>0.3</v>
      </c>
      <c r="U83" s="11" t="n">
        <v>0.05</v>
      </c>
      <c r="V83" s="11" t="n">
        <v>0.2</v>
      </c>
      <c r="W83" s="11" t="n">
        <v>0.5</v>
      </c>
      <c r="X83" s="11" t="n">
        <v>0.3</v>
      </c>
      <c r="Y83" s="7" t="n">
        <v>0</v>
      </c>
      <c r="Z83" s="7" t="n">
        <v>4</v>
      </c>
      <c r="AA83" s="7" t="s">
        <v>1058</v>
      </c>
      <c r="AB83" s="7" t="s">
        <v>1339</v>
      </c>
      <c r="AC83" s="7" t="n">
        <v>8</v>
      </c>
      <c r="AD83" s="7" t="n">
        <v>0.45</v>
      </c>
      <c r="AE83" s="7" t="s">
        <v>1043</v>
      </c>
      <c r="AF83" s="7" t="s">
        <v>1274</v>
      </c>
      <c r="AG83" s="7" t="s">
        <v>1343</v>
      </c>
    </row>
    <row r="84" customFormat="false" ht="15" hidden="false" customHeight="false" outlineLevel="0" collapsed="false">
      <c r="A84" s="7" t="s">
        <v>188</v>
      </c>
      <c r="B84" s="7" t="s">
        <v>1344</v>
      </c>
      <c r="C84" s="7" t="s">
        <v>1021</v>
      </c>
      <c r="D84" s="7" t="s">
        <v>1290</v>
      </c>
      <c r="E84" s="7" t="s">
        <v>1291</v>
      </c>
      <c r="F84" s="7" t="n">
        <v>18</v>
      </c>
      <c r="G84" s="55" t="s">
        <v>1141</v>
      </c>
      <c r="H84" s="142" t="s">
        <v>1345</v>
      </c>
      <c r="I84" s="72" t="s">
        <v>1346</v>
      </c>
      <c r="J84" s="7" t="n">
        <v>110</v>
      </c>
      <c r="K84" s="7" t="n">
        <v>105</v>
      </c>
      <c r="L84" s="7" t="n">
        <v>120</v>
      </c>
      <c r="M84" s="7" t="n">
        <v>270</v>
      </c>
      <c r="N84" s="7" t="n">
        <v>305</v>
      </c>
      <c r="O84" s="7" t="s">
        <v>1294</v>
      </c>
      <c r="P84" s="7" t="s">
        <v>1333</v>
      </c>
      <c r="Q84" s="11" t="n">
        <v>0.6</v>
      </c>
      <c r="R84" s="11" t="n">
        <v>0.4</v>
      </c>
      <c r="S84" s="11" t="n">
        <v>0.4</v>
      </c>
      <c r="T84" s="11" t="n">
        <v>0.3</v>
      </c>
      <c r="U84" s="11" t="n">
        <v>0.05</v>
      </c>
      <c r="V84" s="11" t="n">
        <v>0.2</v>
      </c>
      <c r="W84" s="11" t="n">
        <v>0.45</v>
      </c>
      <c r="X84" s="11" t="n">
        <v>0.3</v>
      </c>
      <c r="Y84" s="7" t="n">
        <v>0</v>
      </c>
      <c r="Z84" s="7" t="n">
        <v>5</v>
      </c>
      <c r="AA84" s="7" t="s">
        <v>1058</v>
      </c>
      <c r="AB84" s="7" t="s">
        <v>1339</v>
      </c>
      <c r="AC84" s="7" t="n">
        <v>10</v>
      </c>
      <c r="AD84" s="7" t="n">
        <v>0.55</v>
      </c>
      <c r="AE84" s="7" t="s">
        <v>1043</v>
      </c>
      <c r="AF84" s="7" t="s">
        <v>1274</v>
      </c>
      <c r="AG84" s="7" t="s">
        <v>1347</v>
      </c>
    </row>
    <row r="85" customFormat="false" ht="15" hidden="false" customHeight="false" outlineLevel="0" collapsed="false">
      <c r="A85" s="7" t="s">
        <v>203</v>
      </c>
      <c r="B85" s="7" t="s">
        <v>1348</v>
      </c>
      <c r="C85" s="7" t="s">
        <v>1021</v>
      </c>
      <c r="D85" s="7" t="s">
        <v>1290</v>
      </c>
      <c r="E85" s="7" t="s">
        <v>1291</v>
      </c>
      <c r="F85" s="7" t="n">
        <v>20</v>
      </c>
      <c r="G85" s="55" t="s">
        <v>1141</v>
      </c>
      <c r="H85" s="143" t="s">
        <v>1349</v>
      </c>
      <c r="I85" s="144" t="s">
        <v>1350</v>
      </c>
      <c r="J85" s="7" t="n">
        <v>100</v>
      </c>
      <c r="K85" s="7" t="n">
        <v>75</v>
      </c>
      <c r="L85" s="7" t="n">
        <v>95</v>
      </c>
      <c r="M85" s="7" t="n">
        <v>160</v>
      </c>
      <c r="N85" s="7" t="n">
        <v>300</v>
      </c>
      <c r="O85" s="7" t="s">
        <v>1294</v>
      </c>
      <c r="P85" s="7" t="s">
        <v>1295</v>
      </c>
      <c r="Q85" s="11" t="n">
        <v>0.4</v>
      </c>
      <c r="R85" s="11" t="n">
        <v>0.4</v>
      </c>
      <c r="S85" s="11" t="n">
        <v>0.5</v>
      </c>
      <c r="T85" s="11" t="n">
        <v>0.3</v>
      </c>
      <c r="U85" s="11" t="n">
        <v>0.05</v>
      </c>
      <c r="V85" s="11" t="n">
        <v>0.2</v>
      </c>
      <c r="W85" s="11" t="n">
        <v>0.6</v>
      </c>
      <c r="X85" s="11" t="n">
        <v>0.3</v>
      </c>
      <c r="Y85" s="7" t="n">
        <v>0</v>
      </c>
      <c r="Z85" s="7" t="n">
        <v>5</v>
      </c>
      <c r="AA85" s="7" t="s">
        <v>1058</v>
      </c>
      <c r="AB85" s="7" t="s">
        <v>1029</v>
      </c>
      <c r="AC85" s="7" t="n">
        <v>10</v>
      </c>
      <c r="AD85" s="7" t="n">
        <v>0.4</v>
      </c>
      <c r="AE85" s="7" t="s">
        <v>1043</v>
      </c>
      <c r="AF85" s="7" t="s">
        <v>1060</v>
      </c>
      <c r="AG85" s="7" t="s">
        <v>1351</v>
      </c>
    </row>
    <row r="86" customFormat="false" ht="15" hidden="false" customHeight="false" outlineLevel="0" collapsed="false">
      <c r="A86" s="7" t="s">
        <v>463</v>
      </c>
      <c r="B86" s="7" t="s">
        <v>1352</v>
      </c>
      <c r="C86" s="7" t="s">
        <v>1021</v>
      </c>
      <c r="D86" s="7" t="s">
        <v>1308</v>
      </c>
      <c r="E86" s="7" t="s">
        <v>1291</v>
      </c>
      <c r="F86" s="7" t="n">
        <v>2.5</v>
      </c>
      <c r="G86" s="55" t="s">
        <v>1141</v>
      </c>
      <c r="H86" s="25" t="s">
        <v>1353</v>
      </c>
      <c r="I86" s="80" t="s">
        <v>1176</v>
      </c>
      <c r="J86" s="7" t="n">
        <v>105</v>
      </c>
      <c r="K86" s="7" t="n">
        <v>64</v>
      </c>
      <c r="L86" s="7" t="n">
        <v>98</v>
      </c>
      <c r="M86" s="7" t="n">
        <v>255</v>
      </c>
      <c r="N86" s="7" t="n">
        <v>295</v>
      </c>
      <c r="O86" s="7" t="s">
        <v>1294</v>
      </c>
      <c r="P86" s="7" t="s">
        <v>1354</v>
      </c>
      <c r="Q86" s="11" t="n">
        <v>0.35</v>
      </c>
      <c r="R86" s="11" t="n">
        <v>0.3</v>
      </c>
      <c r="S86" s="11" t="n">
        <v>0.65</v>
      </c>
      <c r="T86" s="11" t="n">
        <v>0.25</v>
      </c>
      <c r="U86" s="11" t="n">
        <v>0.05</v>
      </c>
      <c r="V86" s="11" t="n">
        <v>0.2</v>
      </c>
      <c r="W86" s="11" t="n">
        <v>0.65</v>
      </c>
      <c r="X86" s="11" t="n">
        <v>0.3</v>
      </c>
      <c r="Y86" s="7" t="n">
        <v>0</v>
      </c>
      <c r="Z86" s="7" t="n">
        <v>7</v>
      </c>
      <c r="AA86" s="7" t="s">
        <v>1058</v>
      </c>
      <c r="AB86" s="7" t="s">
        <v>1149</v>
      </c>
      <c r="AC86" s="7" t="n">
        <v>6</v>
      </c>
      <c r="AD86" s="7" t="n">
        <v>0.55</v>
      </c>
      <c r="AE86" s="7" t="s">
        <v>1043</v>
      </c>
      <c r="AF86" s="7" t="s">
        <v>1274</v>
      </c>
      <c r="AG86" s="7" t="s">
        <v>1355</v>
      </c>
    </row>
    <row r="87" customFormat="false" ht="15" hidden="false" customHeight="false" outlineLevel="0" collapsed="false">
      <c r="A87" s="7" t="s">
        <v>987</v>
      </c>
      <c r="B87" s="7" t="s">
        <v>1356</v>
      </c>
      <c r="C87" s="7" t="s">
        <v>1021</v>
      </c>
      <c r="D87" s="7" t="s">
        <v>1308</v>
      </c>
      <c r="E87" s="7" t="s">
        <v>1291</v>
      </c>
      <c r="F87" s="7" t="n">
        <v>4</v>
      </c>
      <c r="G87" s="48" t="s">
        <v>1111</v>
      </c>
      <c r="H87" s="86" t="s">
        <v>1357</v>
      </c>
      <c r="I87" s="37" t="s">
        <v>1262</v>
      </c>
      <c r="J87" s="7" t="n">
        <v>60</v>
      </c>
      <c r="K87" s="7" t="n">
        <v>125</v>
      </c>
      <c r="L87" s="7" t="n">
        <v>145</v>
      </c>
      <c r="M87" s="7" t="n">
        <v>290</v>
      </c>
      <c r="N87" s="7" t="n">
        <v>330</v>
      </c>
      <c r="O87" s="7" t="s">
        <v>1294</v>
      </c>
      <c r="P87" s="7" t="s">
        <v>1354</v>
      </c>
      <c r="Q87" s="11" t="n">
        <v>0.45</v>
      </c>
      <c r="R87" s="11" t="n">
        <v>0.45</v>
      </c>
      <c r="S87" s="11" t="n">
        <v>0.5</v>
      </c>
      <c r="T87" s="11" t="n">
        <v>0.3</v>
      </c>
      <c r="U87" s="11" t="n">
        <v>0.2</v>
      </c>
      <c r="V87" s="11" t="n">
        <v>0.3</v>
      </c>
      <c r="W87" s="11" t="n">
        <v>0.6</v>
      </c>
      <c r="X87" s="11" t="n">
        <v>0.3</v>
      </c>
      <c r="Y87" s="7" t="n">
        <v>0</v>
      </c>
      <c r="Z87" s="7" t="n">
        <v>0</v>
      </c>
      <c r="AA87" s="7" t="s">
        <v>1049</v>
      </c>
      <c r="AB87" s="7" t="s">
        <v>1149</v>
      </c>
      <c r="AC87" s="7" t="n">
        <v>8</v>
      </c>
      <c r="AD87" s="7" t="n">
        <v>0.75</v>
      </c>
      <c r="AE87" s="7" t="s">
        <v>1043</v>
      </c>
      <c r="AF87" s="7" t="s">
        <v>1274</v>
      </c>
      <c r="AG87" s="7" t="s">
        <v>1358</v>
      </c>
    </row>
    <row r="88" customFormat="false" ht="15" hidden="false" customHeight="false" outlineLevel="0" collapsed="false">
      <c r="A88" s="7" t="s">
        <v>512</v>
      </c>
      <c r="B88" s="7" t="s">
        <v>511</v>
      </c>
      <c r="C88" s="7" t="s">
        <v>1021</v>
      </c>
      <c r="D88" s="7" t="s">
        <v>1308</v>
      </c>
      <c r="E88" s="7" t="s">
        <v>1291</v>
      </c>
      <c r="F88" s="7" t="n">
        <v>3</v>
      </c>
      <c r="G88" s="81" t="s">
        <v>1178</v>
      </c>
      <c r="H88" s="86" t="s">
        <v>1357</v>
      </c>
      <c r="I88" s="145" t="s">
        <v>1359</v>
      </c>
      <c r="J88" s="7" t="n">
        <v>95</v>
      </c>
      <c r="K88" s="7" t="n">
        <v>160</v>
      </c>
      <c r="L88" s="7" t="n">
        <v>185</v>
      </c>
      <c r="M88" s="7" t="n">
        <v>225</v>
      </c>
      <c r="N88" s="7" t="n">
        <v>295</v>
      </c>
      <c r="O88" s="7" t="s">
        <v>1294</v>
      </c>
      <c r="P88" s="7" t="s">
        <v>1354</v>
      </c>
      <c r="Q88" s="11" t="n">
        <v>0.75</v>
      </c>
      <c r="R88" s="11" t="n">
        <v>0.35</v>
      </c>
      <c r="S88" s="11" t="n">
        <v>0.8</v>
      </c>
      <c r="T88" s="11" t="n">
        <v>0.2</v>
      </c>
      <c r="U88" s="11" t="n">
        <v>0.2</v>
      </c>
      <c r="V88" s="11" t="n">
        <v>0.3</v>
      </c>
      <c r="W88" s="11" t="n">
        <v>0.65</v>
      </c>
      <c r="X88" s="11" t="n">
        <v>0.3</v>
      </c>
      <c r="Y88" s="7" t="n">
        <v>0</v>
      </c>
      <c r="Z88" s="7" t="n">
        <v>2</v>
      </c>
      <c r="AA88" s="7" t="s">
        <v>1058</v>
      </c>
      <c r="AB88" s="7" t="s">
        <v>1149</v>
      </c>
      <c r="AC88" s="7" t="n">
        <v>6</v>
      </c>
      <c r="AD88" s="7" t="n">
        <v>0.5</v>
      </c>
      <c r="AE88" s="7" t="s">
        <v>1043</v>
      </c>
      <c r="AF88" s="7" t="s">
        <v>1038</v>
      </c>
      <c r="AG88" s="7" t="s">
        <v>1360</v>
      </c>
    </row>
    <row r="89" customFormat="false" ht="15" hidden="false" customHeight="false" outlineLevel="0" collapsed="false">
      <c r="A89" s="7" t="s">
        <v>453</v>
      </c>
      <c r="B89" s="7" t="s">
        <v>452</v>
      </c>
      <c r="C89" s="7" t="s">
        <v>1021</v>
      </c>
      <c r="D89" s="7" t="s">
        <v>1027</v>
      </c>
      <c r="E89" s="7" t="s">
        <v>1034</v>
      </c>
      <c r="F89" s="7" t="n">
        <v>0.8</v>
      </c>
      <c r="G89" s="35" t="s">
        <v>1361</v>
      </c>
      <c r="H89" s="31" t="s">
        <v>1082</v>
      </c>
      <c r="I89" s="68" t="s">
        <v>1156</v>
      </c>
      <c r="J89" s="7" t="n">
        <v>60</v>
      </c>
      <c r="K89" s="7" t="n">
        <v>100</v>
      </c>
      <c r="L89" s="7" t="n">
        <v>140</v>
      </c>
      <c r="M89" s="7" t="n">
        <v>170</v>
      </c>
      <c r="N89" s="7" t="n">
        <v>190</v>
      </c>
      <c r="O89" s="7" t="s">
        <v>1027</v>
      </c>
      <c r="P89" s="7"/>
      <c r="Q89" s="11" t="n">
        <v>0.35</v>
      </c>
      <c r="R89" s="11" t="n">
        <v>0.35</v>
      </c>
      <c r="S89" s="11" t="n">
        <v>0.55</v>
      </c>
      <c r="T89" s="11" t="n">
        <v>0.3</v>
      </c>
      <c r="U89" s="11" t="n">
        <v>0.2</v>
      </c>
      <c r="V89" s="11" t="n">
        <v>0.3</v>
      </c>
      <c r="W89" s="11" t="n">
        <v>0.6</v>
      </c>
      <c r="X89" s="11" t="n">
        <v>0.3</v>
      </c>
      <c r="Y89" s="7" t="n">
        <v>0</v>
      </c>
      <c r="Z89" s="7" t="n">
        <v>0</v>
      </c>
      <c r="AA89" s="7" t="s">
        <v>1049</v>
      </c>
      <c r="AB89" s="7" t="s">
        <v>1059</v>
      </c>
      <c r="AC89" s="7" t="n">
        <v>10</v>
      </c>
      <c r="AD89" s="7" t="n">
        <v>0.6</v>
      </c>
      <c r="AE89" s="7" t="s">
        <v>1043</v>
      </c>
      <c r="AF89" s="7" t="s">
        <v>1070</v>
      </c>
      <c r="AG89" s="7" t="s">
        <v>1362</v>
      </c>
    </row>
    <row r="90" customFormat="false" ht="15" hidden="false" customHeight="false" outlineLevel="0" collapsed="false">
      <c r="A90" s="7" t="s">
        <v>92</v>
      </c>
      <c r="B90" s="7" t="s">
        <v>91</v>
      </c>
      <c r="C90" s="7" t="s">
        <v>1021</v>
      </c>
      <c r="D90" s="7" t="s">
        <v>1094</v>
      </c>
      <c r="E90" s="7" t="s">
        <v>1081</v>
      </c>
      <c r="F90" s="7" t="n">
        <v>0.4</v>
      </c>
      <c r="G90" s="38" t="s">
        <v>1122</v>
      </c>
      <c r="H90" s="31" t="s">
        <v>1082</v>
      </c>
      <c r="I90" s="38" t="s">
        <v>1122</v>
      </c>
      <c r="J90" s="7" t="n">
        <v>300</v>
      </c>
      <c r="K90" s="7" t="n">
        <v>110</v>
      </c>
      <c r="L90" s="7" t="n">
        <v>140</v>
      </c>
      <c r="M90" s="7" t="n">
        <v>160</v>
      </c>
      <c r="N90" s="7" t="n">
        <v>180</v>
      </c>
      <c r="O90" s="7" t="s">
        <v>1094</v>
      </c>
      <c r="P90" s="7"/>
      <c r="Q90" s="11" t="n">
        <v>0.5</v>
      </c>
      <c r="R90" s="11" t="n">
        <v>0.35</v>
      </c>
      <c r="S90" s="11" t="n">
        <v>0.6</v>
      </c>
      <c r="T90" s="11" t="n">
        <v>0.3</v>
      </c>
      <c r="U90" s="11" t="n">
        <v>0.25</v>
      </c>
      <c r="V90" s="11" t="n">
        <v>0.3</v>
      </c>
      <c r="W90" s="11" t="n">
        <v>0.7</v>
      </c>
      <c r="X90" s="11" t="n">
        <v>0.3</v>
      </c>
      <c r="Y90" s="7" t="n">
        <v>0</v>
      </c>
      <c r="Z90" s="7" t="n">
        <v>0</v>
      </c>
      <c r="AA90" s="7" t="s">
        <v>1058</v>
      </c>
      <c r="AB90" s="7" t="s">
        <v>1065</v>
      </c>
      <c r="AC90" s="7" t="n">
        <v>6</v>
      </c>
      <c r="AD90" s="7" t="n">
        <v>0.6</v>
      </c>
      <c r="AE90" s="7" t="s">
        <v>1043</v>
      </c>
      <c r="AF90" s="7" t="s">
        <v>1060</v>
      </c>
      <c r="AG90" s="7" t="s">
        <v>1363</v>
      </c>
    </row>
    <row r="91" customFormat="false" ht="15" hidden="false" customHeight="false" outlineLevel="0" collapsed="false">
      <c r="A91" s="7" t="s">
        <v>264</v>
      </c>
      <c r="B91" s="7" t="s">
        <v>263</v>
      </c>
      <c r="C91" s="7" t="s">
        <v>1021</v>
      </c>
      <c r="D91" s="7" t="s">
        <v>1022</v>
      </c>
      <c r="E91" s="7" t="s">
        <v>1053</v>
      </c>
      <c r="F91" s="7" t="n">
        <v>1.2</v>
      </c>
      <c r="G91" s="146" t="s">
        <v>1364</v>
      </c>
      <c r="H91" s="119" t="s">
        <v>1276</v>
      </c>
      <c r="I91" s="21" t="s">
        <v>1056</v>
      </c>
      <c r="J91" s="7" t="n">
        <v>100</v>
      </c>
      <c r="K91" s="7" t="n">
        <v>195</v>
      </c>
      <c r="L91" s="7" t="n">
        <v>270</v>
      </c>
      <c r="M91" s="7" t="n">
        <v>230</v>
      </c>
      <c r="N91" s="7" t="n">
        <v>285</v>
      </c>
      <c r="O91" s="7" t="s">
        <v>1057</v>
      </c>
      <c r="P91" s="7"/>
      <c r="Q91" s="11" t="n">
        <v>0.45</v>
      </c>
      <c r="R91" s="11" t="n">
        <v>0.35</v>
      </c>
      <c r="S91" s="11" t="n">
        <v>0.85</v>
      </c>
      <c r="T91" s="11" t="n">
        <v>0.2</v>
      </c>
      <c r="U91" s="11" t="n">
        <v>0.2</v>
      </c>
      <c r="V91" s="11" t="n">
        <v>0.3</v>
      </c>
      <c r="W91" s="11" t="n">
        <v>0.6</v>
      </c>
      <c r="X91" s="11" t="n">
        <v>0.3</v>
      </c>
      <c r="Y91" s="7" t="n">
        <v>0</v>
      </c>
      <c r="Z91" s="7" t="n">
        <v>2</v>
      </c>
      <c r="AA91" s="7" t="s">
        <v>1058</v>
      </c>
      <c r="AB91" s="7" t="s">
        <v>1092</v>
      </c>
      <c r="AC91" s="7" t="n">
        <v>6</v>
      </c>
      <c r="AD91" s="7" t="n">
        <v>0.5</v>
      </c>
      <c r="AE91" s="7" t="s">
        <v>1043</v>
      </c>
      <c r="AF91" s="7" t="s">
        <v>1154</v>
      </c>
      <c r="AG91" s="7" t="s">
        <v>1365</v>
      </c>
    </row>
    <row r="92" customFormat="false" ht="15" hidden="false" customHeight="false" outlineLevel="0" collapsed="false">
      <c r="A92" s="7" t="s">
        <v>383</v>
      </c>
      <c r="B92" s="7" t="s">
        <v>1366</v>
      </c>
      <c r="C92" s="7" t="s">
        <v>1021</v>
      </c>
      <c r="D92" s="7" t="s">
        <v>1052</v>
      </c>
      <c r="E92" s="7" t="s">
        <v>1023</v>
      </c>
      <c r="F92" s="7" t="n">
        <v>0.4</v>
      </c>
      <c r="G92" s="48" t="s">
        <v>1111</v>
      </c>
      <c r="H92" s="31" t="s">
        <v>1179</v>
      </c>
      <c r="I92" s="82" t="s">
        <v>1180</v>
      </c>
      <c r="J92" s="7" t="n">
        <v>90</v>
      </c>
      <c r="K92" s="7" t="n">
        <v>110</v>
      </c>
      <c r="L92" s="7" t="n">
        <v>125</v>
      </c>
      <c r="M92" s="7" t="n">
        <v>185</v>
      </c>
      <c r="N92" s="7" t="n">
        <v>200</v>
      </c>
      <c r="O92" s="7" t="s">
        <v>1057</v>
      </c>
      <c r="P92" s="7"/>
      <c r="Q92" s="11" t="n">
        <v>0.35</v>
      </c>
      <c r="R92" s="11" t="n">
        <v>0.3</v>
      </c>
      <c r="S92" s="11" t="n">
        <v>0.55</v>
      </c>
      <c r="T92" s="11" t="n">
        <v>0.3</v>
      </c>
      <c r="U92" s="11" t="n">
        <v>0.05</v>
      </c>
      <c r="V92" s="11" t="n">
        <v>0.2</v>
      </c>
      <c r="W92" s="11" t="n">
        <v>0.6</v>
      </c>
      <c r="X92" s="11" t="n">
        <v>0.3</v>
      </c>
      <c r="Y92" s="7" t="n">
        <v>0</v>
      </c>
      <c r="Z92" s="7" t="n">
        <v>3</v>
      </c>
      <c r="AA92" s="7" t="s">
        <v>1058</v>
      </c>
      <c r="AB92" s="7" t="s">
        <v>1079</v>
      </c>
      <c r="AC92" s="7" t="n">
        <v>12</v>
      </c>
      <c r="AD92" s="7" t="n">
        <v>0.55</v>
      </c>
      <c r="AE92" s="7" t="s">
        <v>1043</v>
      </c>
      <c r="AF92" s="7" t="s">
        <v>1031</v>
      </c>
      <c r="AG92" s="7" t="s">
        <v>1367</v>
      </c>
    </row>
    <row r="93" customFormat="false" ht="15" hidden="false" customHeight="false" outlineLevel="0" collapsed="false">
      <c r="A93" s="7" t="s">
        <v>872</v>
      </c>
      <c r="B93" s="7" t="s">
        <v>871</v>
      </c>
      <c r="C93" s="7" t="s">
        <v>1021</v>
      </c>
      <c r="D93" s="7" t="s">
        <v>1368</v>
      </c>
      <c r="E93" s="7" t="s">
        <v>1271</v>
      </c>
      <c r="F93" s="7" t="n">
        <v>0.3</v>
      </c>
      <c r="G93" s="89" t="s">
        <v>1369</v>
      </c>
      <c r="H93" s="147" t="s">
        <v>1370</v>
      </c>
      <c r="I93" s="103" t="s">
        <v>1371</v>
      </c>
      <c r="J93" s="7" t="n">
        <v>150</v>
      </c>
      <c r="K93" s="7" t="n">
        <v>150</v>
      </c>
      <c r="L93" s="7" t="n">
        <v>280</v>
      </c>
      <c r="M93" s="7" t="n">
        <v>280</v>
      </c>
      <c r="N93" s="7" t="n">
        <v>290</v>
      </c>
      <c r="O93" s="7" t="s">
        <v>1057</v>
      </c>
      <c r="P93" s="7"/>
      <c r="Q93" s="11" t="n">
        <v>0.6</v>
      </c>
      <c r="R93" s="11" t="n">
        <v>0.5</v>
      </c>
      <c r="S93" s="11" t="n">
        <v>0.6</v>
      </c>
      <c r="T93" s="11" t="n">
        <v>0.4</v>
      </c>
      <c r="U93" s="11" t="n">
        <v>0.1</v>
      </c>
      <c r="V93" s="11" t="n">
        <v>0.4</v>
      </c>
      <c r="W93" s="11" t="n">
        <v>0.6</v>
      </c>
      <c r="X93" s="11" t="n">
        <v>0.4</v>
      </c>
      <c r="Y93" s="7" t="n">
        <v>0</v>
      </c>
      <c r="Z93" s="7" t="n">
        <v>0</v>
      </c>
      <c r="AA93" s="7" t="s">
        <v>1058</v>
      </c>
      <c r="AB93" s="7" t="s">
        <v>1273</v>
      </c>
      <c r="AC93" s="7" t="n">
        <v>4</v>
      </c>
      <c r="AD93" s="7" t="n">
        <v>0.4</v>
      </c>
      <c r="AE93" s="7" t="s">
        <v>1372</v>
      </c>
      <c r="AF93" s="7" t="s">
        <v>1274</v>
      </c>
      <c r="AG93" s="7" t="s">
        <v>1373</v>
      </c>
    </row>
    <row r="94" customFormat="false" ht="15" hidden="false" customHeight="false" outlineLevel="0" collapsed="false">
      <c r="A94" s="7" t="s">
        <v>877</v>
      </c>
      <c r="B94" s="7" t="s">
        <v>876</v>
      </c>
      <c r="C94" s="7" t="s">
        <v>1021</v>
      </c>
      <c r="D94" s="7" t="s">
        <v>1368</v>
      </c>
      <c r="E94" s="7" t="s">
        <v>1271</v>
      </c>
      <c r="F94" s="7" t="n">
        <v>0.08</v>
      </c>
      <c r="G94" s="148" t="s">
        <v>1374</v>
      </c>
      <c r="H94" s="149" t="s">
        <v>1375</v>
      </c>
      <c r="I94" s="110" t="s">
        <v>1283</v>
      </c>
      <c r="J94" s="7" t="n">
        <v>1</v>
      </c>
      <c r="K94" s="7" t="n">
        <v>1</v>
      </c>
      <c r="L94" s="7" t="n">
        <v>365</v>
      </c>
      <c r="M94" s="7" t="n">
        <v>365</v>
      </c>
      <c r="N94" s="7" t="n">
        <v>999</v>
      </c>
      <c r="O94" s="7" t="s">
        <v>1186</v>
      </c>
      <c r="P94" s="7"/>
      <c r="Q94" s="11" t="n">
        <v>0.6</v>
      </c>
      <c r="R94" s="11" t="n">
        <v>0.5</v>
      </c>
      <c r="S94" s="11" t="n">
        <v>0.6</v>
      </c>
      <c r="T94" s="11" t="n">
        <v>0.4</v>
      </c>
      <c r="U94" s="11" t="n">
        <v>0.1</v>
      </c>
      <c r="V94" s="11" t="n">
        <v>0.4</v>
      </c>
      <c r="W94" s="11" t="n">
        <v>0.6</v>
      </c>
      <c r="X94" s="11" t="n">
        <v>0.4</v>
      </c>
      <c r="Y94" s="7" t="n">
        <v>0</v>
      </c>
      <c r="Z94" s="7" t="n">
        <v>0</v>
      </c>
      <c r="AA94" s="7" t="s">
        <v>1058</v>
      </c>
      <c r="AB94" s="7" t="s">
        <v>1273</v>
      </c>
      <c r="AC94" s="7" t="n">
        <v>4</v>
      </c>
      <c r="AD94" s="7" t="n">
        <v>0.8</v>
      </c>
      <c r="AE94" s="7" t="s">
        <v>1372</v>
      </c>
      <c r="AF94" s="7" t="s">
        <v>1274</v>
      </c>
      <c r="AG94" s="7" t="s">
        <v>1376</v>
      </c>
    </row>
    <row r="95" customFormat="false" ht="15" hidden="false" customHeight="false" outlineLevel="0" collapsed="false">
      <c r="A95" s="7" t="s">
        <v>983</v>
      </c>
      <c r="B95" s="7" t="s">
        <v>982</v>
      </c>
      <c r="C95" s="7" t="s">
        <v>1021</v>
      </c>
      <c r="D95" s="7" t="s">
        <v>1377</v>
      </c>
      <c r="E95" s="7" t="s">
        <v>1023</v>
      </c>
      <c r="F95" s="7" t="n">
        <v>0.2</v>
      </c>
      <c r="G95" s="19" t="s">
        <v>1119</v>
      </c>
      <c r="H95" s="150" t="s">
        <v>1378</v>
      </c>
      <c r="I95" s="20" t="s">
        <v>1216</v>
      </c>
      <c r="J95" s="7" t="n">
        <v>60</v>
      </c>
      <c r="K95" s="7" t="n">
        <v>80</v>
      </c>
      <c r="L95" s="7" t="n">
        <v>110</v>
      </c>
      <c r="M95" s="7" t="n">
        <v>140</v>
      </c>
      <c r="N95" s="7" t="n">
        <v>320</v>
      </c>
      <c r="O95" s="7" t="s">
        <v>1134</v>
      </c>
      <c r="P95" s="7"/>
      <c r="Q95" s="11" t="n">
        <v>0.35</v>
      </c>
      <c r="R95" s="11" t="n">
        <v>0.35</v>
      </c>
      <c r="S95" s="11" t="n">
        <v>0.4</v>
      </c>
      <c r="T95" s="11" t="n">
        <v>0.3</v>
      </c>
      <c r="U95" s="11" t="n">
        <v>0.05</v>
      </c>
      <c r="V95" s="11" t="n">
        <v>0.2</v>
      </c>
      <c r="W95" s="11" t="n">
        <v>0.45</v>
      </c>
      <c r="X95" s="11" t="n">
        <v>0.3</v>
      </c>
      <c r="Y95" s="7" t="n">
        <v>0</v>
      </c>
      <c r="Z95" s="7" t="n">
        <v>5</v>
      </c>
      <c r="AA95" s="7" t="s">
        <v>1058</v>
      </c>
      <c r="AB95" s="7" t="s">
        <v>1079</v>
      </c>
      <c r="AC95" s="7" t="n">
        <v>12</v>
      </c>
      <c r="AD95" s="7" t="n">
        <v>0.6</v>
      </c>
      <c r="AE95" s="7" t="s">
        <v>1043</v>
      </c>
      <c r="AF95" s="7" t="s">
        <v>1060</v>
      </c>
      <c r="AG95" s="7" t="s">
        <v>1379</v>
      </c>
    </row>
  </sheetData>
  <autoFilter ref="A1:AG95"/>
  <dataValidations count="9">
    <dataValidation allowBlank="true" errorStyle="stop" operator="between" showDropDown="false" showErrorMessage="false" showInputMessage="false" sqref="D2:D1000" type="list">
      <formula1>"rosette,mat,forb,tallForb,grass,sedge,bulb,vine,cane,horsetail,fungus,fungusBracket,shrub,tree"</formula1>
      <formula2>0</formula2>
    </dataValidation>
    <dataValidation allowBlank="true" errorStyle="stop" operator="between" showDropDown="false" showErrorMessage="false" showInputMessage="false" sqref="E2:E1000" type="list">
      <formula1>"winterAnnual,summerAnnual,biennial,perennial,woody,fungus"</formula1>
      <formula2>0</formula2>
    </dataValidation>
    <dataValidation allowBlank="true" errorStyle="stop" operator="between" showDropDown="false" showErrorMessage="false" showInputMessage="false" sqref="O2:O1000" type="list">
      <formula1>"none,rosette,mat,standing,clump,evergreen,bare"</formula1>
      <formula2>0</formula2>
    </dataValidation>
    <dataValidation allowBlank="true" errorStyle="stop" operator="between" showDropDown="false" showErrorMessage="false" showInputMessage="false" sqref="P2:P1000" type="list">
      <formula1>"spreading,upright,conifer,vase,multistem,arching"</formula1>
      <formula2>0</formula2>
    </dataValidation>
    <dataValidation allowBlank="true" errorStyle="stop" operator="between" showDropDown="false" showErrorMessage="false" showInputMessage="false" sqref="AA2:AA1000" type="list">
      <formula1>"native,introduced,invasive,escape"</formula1>
      <formula2>0</formula2>
    </dataValidation>
    <dataValidation allowBlank="true" errorStyle="stop" operator="between" showDropDown="false" showErrorMessage="false" showInputMessage="false" sqref="AB2:AB1000" type="list">
      <formula1>"wind,bird,animal,caching,gravity,rhizome,ballistic,escape,spores"</formula1>
      <formula2>0</formula2>
    </dataValidation>
    <dataValidation allowBlank="true" errorStyle="stop" operator="between" showDropDown="false" showErrorMessage="false" showInputMessage="false" sqref="AE2:AE1000" type="list">
      <formula1>"soil,soilOrGravel,wood"</formula1>
      <formula2>0</formula2>
    </dataValidation>
    <dataValidation allowBlank="true" errorStyle="stop" operator="between" showDropDown="false" showErrorMessage="false" showInputMessage="false" sqref="AF2:AF1000" type="list">
      <formula1>"cluster,umbel,plume,spike,daisy,globe,bell"</formula1>
      <formula2>0</formula2>
    </dataValidation>
    <dataValidation allowBlank="false" errorStyle="stop" operator="between" showDropDown="false" showErrorMessage="false" showInputMessage="false" sqref="Q2:X1000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36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40"/>
    <col collapsed="false" customWidth="true" hidden="false" outlineLevel="0" max="7" min="7" style="0" width="30"/>
    <col collapsed="false" customWidth="true" hidden="false" outlineLevel="0" max="8" min="8" style="0" width="11"/>
    <col collapsed="false" customWidth="true" hidden="false" outlineLevel="0" max="9" min="9" style="0" width="10"/>
  </cols>
  <sheetData>
    <row r="1" customFormat="false" ht="26.85" hidden="false" customHeight="false" outlineLevel="0" collapsed="false">
      <c r="A1" s="4" t="s">
        <v>1380</v>
      </c>
      <c r="B1" s="4" t="s">
        <v>1381</v>
      </c>
      <c r="C1" s="4" t="s">
        <v>1382</v>
      </c>
      <c r="D1" s="4" t="s">
        <v>1383</v>
      </c>
      <c r="E1" s="4" t="s">
        <v>1384</v>
      </c>
      <c r="F1" s="4" t="s">
        <v>1385</v>
      </c>
      <c r="G1" s="4" t="s">
        <v>1386</v>
      </c>
      <c r="H1" s="4" t="s">
        <v>1387</v>
      </c>
      <c r="I1" s="4" t="s">
        <v>1388</v>
      </c>
    </row>
    <row r="2" customFormat="false" ht="15" hidden="false" customHeight="false" outlineLevel="0" collapsed="false">
      <c r="A2" s="151" t="s">
        <v>289</v>
      </c>
      <c r="B2" s="151" t="s">
        <v>1389</v>
      </c>
      <c r="C2" s="151" t="s">
        <v>1390</v>
      </c>
      <c r="D2" s="151" t="s">
        <v>1391</v>
      </c>
      <c r="E2" s="151" t="s">
        <v>1392</v>
      </c>
      <c r="F2" s="151" t="s">
        <v>1393</v>
      </c>
      <c r="G2" s="151" t="s">
        <v>1394</v>
      </c>
      <c r="H2" s="6" t="n">
        <f aca="false">COUNTIF(Species!$J$2:$J$186,A2)+COUNTIF(Species!$L$2:$L$186,A2)+COUNTIF(Species!$N$2:$N$186,A2)</f>
        <v>21</v>
      </c>
      <c r="I2" s="152" t="n">
        <f aca="false">IFERROR((SUMIF(Species!$J$2:$J$186,A2,Species!$K$2:$K$186)+SUMIF(Species!$L$2:$L$186,A2,Species!$M$2:$M$186)+SUMIF(Species!$N$2:$N$186,A2,Species!$O$2:$O$186))/H2,0)</f>
        <v>4.66666666666667</v>
      </c>
    </row>
    <row r="3" customFormat="false" ht="15" hidden="false" customHeight="false" outlineLevel="0" collapsed="false">
      <c r="A3" s="151" t="s">
        <v>132</v>
      </c>
      <c r="B3" s="151" t="s">
        <v>1395</v>
      </c>
      <c r="C3" s="151" t="s">
        <v>1396</v>
      </c>
      <c r="D3" s="151" t="s">
        <v>1397</v>
      </c>
      <c r="E3" s="151" t="s">
        <v>1398</v>
      </c>
      <c r="F3" s="151" t="s">
        <v>1399</v>
      </c>
      <c r="G3" s="151" t="s">
        <v>1400</v>
      </c>
      <c r="H3" s="6" t="n">
        <f aca="false">COUNTIF(Species!$J$2:$J$186,A3)+COUNTIF(Species!$L$2:$L$186,A3)+COUNTIF(Species!$N$2:$N$186,A3)</f>
        <v>10</v>
      </c>
      <c r="I3" s="152" t="n">
        <f aca="false">IFERROR((SUMIF(Species!$J$2:$J$186,A3,Species!$K$2:$K$186)+SUMIF(Species!$L$2:$L$186,A3,Species!$M$2:$M$186)+SUMIF(Species!$N$2:$N$186,A3,Species!$O$2:$O$186))/H3,0)</f>
        <v>3.8</v>
      </c>
    </row>
    <row r="4" customFormat="false" ht="15" hidden="false" customHeight="false" outlineLevel="0" collapsed="false">
      <c r="A4" s="151" t="s">
        <v>49</v>
      </c>
      <c r="B4" s="151" t="s">
        <v>1401</v>
      </c>
      <c r="C4" s="151" t="s">
        <v>1402</v>
      </c>
      <c r="D4" s="151" t="s">
        <v>1403</v>
      </c>
      <c r="E4" s="151" t="s">
        <v>1404</v>
      </c>
      <c r="F4" s="151" t="s">
        <v>1405</v>
      </c>
      <c r="G4" s="151" t="s">
        <v>1406</v>
      </c>
      <c r="H4" s="6" t="n">
        <f aca="false">COUNTIF(Species!$J$2:$J$186,A4)+COUNTIF(Species!$L$2:$L$186,A4)+COUNTIF(Species!$N$2:$N$186,A4)</f>
        <v>16</v>
      </c>
      <c r="I4" s="152" t="n">
        <f aca="false">IFERROR((SUMIF(Species!$J$2:$J$186,A4,Species!$K$2:$K$186)+SUMIF(Species!$L$2:$L$186,A4,Species!$M$2:$M$186)+SUMIF(Species!$N$2:$N$186,A4,Species!$O$2:$O$186))/H4,0)</f>
        <v>3.0625</v>
      </c>
    </row>
    <row r="5" customFormat="false" ht="15" hidden="false" customHeight="false" outlineLevel="0" collapsed="false">
      <c r="A5" s="151" t="s">
        <v>79</v>
      </c>
      <c r="B5" s="151" t="s">
        <v>1407</v>
      </c>
      <c r="C5" s="151" t="s">
        <v>1408</v>
      </c>
      <c r="D5" s="151" t="s">
        <v>1397</v>
      </c>
      <c r="E5" s="151" t="s">
        <v>1404</v>
      </c>
      <c r="F5" s="151" t="s">
        <v>1409</v>
      </c>
      <c r="G5" s="151" t="s">
        <v>1410</v>
      </c>
      <c r="H5" s="6" t="n">
        <f aca="false">COUNTIF(Species!$J$2:$J$186,A5)+COUNTIF(Species!$L$2:$L$186,A5)+COUNTIF(Species!$N$2:$N$186,A5)</f>
        <v>19</v>
      </c>
      <c r="I5" s="152" t="n">
        <f aca="false">IFERROR((SUMIF(Species!$J$2:$J$186,A5,Species!$K$2:$K$186)+SUMIF(Species!$L$2:$L$186,A5,Species!$M$2:$M$186)+SUMIF(Species!$N$2:$N$186,A5,Species!$O$2:$O$186))/H5,0)</f>
        <v>4.63157894736842</v>
      </c>
    </row>
    <row r="6" customFormat="false" ht="15" hidden="false" customHeight="false" outlineLevel="0" collapsed="false">
      <c r="A6" s="151" t="s">
        <v>94</v>
      </c>
      <c r="B6" s="151" t="s">
        <v>1411</v>
      </c>
      <c r="C6" s="151" t="s">
        <v>1412</v>
      </c>
      <c r="D6" s="151" t="s">
        <v>1413</v>
      </c>
      <c r="E6" s="151" t="s">
        <v>1414</v>
      </c>
      <c r="F6" s="151" t="s">
        <v>1415</v>
      </c>
      <c r="G6" s="151" t="s">
        <v>1416</v>
      </c>
      <c r="H6" s="6" t="n">
        <f aca="false">COUNTIF(Species!$J$2:$J$186,A6)+COUNTIF(Species!$L$2:$L$186,A6)+COUNTIF(Species!$N$2:$N$186,A6)</f>
        <v>3</v>
      </c>
      <c r="I6" s="152" t="n">
        <f aca="false">IFERROR((SUMIF(Species!$J$2:$J$186,A6,Species!$K$2:$K$186)+SUMIF(Species!$L$2:$L$186,A6,Species!$M$2:$M$186)+SUMIF(Species!$N$2:$N$186,A6,Species!$O$2:$O$186))/H6,0)</f>
        <v>3</v>
      </c>
    </row>
    <row r="7" customFormat="false" ht="15" hidden="false" customHeight="false" outlineLevel="0" collapsed="false">
      <c r="A7" s="151" t="s">
        <v>65</v>
      </c>
      <c r="B7" s="151" t="s">
        <v>1417</v>
      </c>
      <c r="C7" s="151" t="s">
        <v>1418</v>
      </c>
      <c r="D7" s="151" t="s">
        <v>1419</v>
      </c>
      <c r="E7" s="151" t="s">
        <v>1420</v>
      </c>
      <c r="F7" s="151" t="s">
        <v>1421</v>
      </c>
      <c r="G7" s="151" t="s">
        <v>1422</v>
      </c>
      <c r="H7" s="6" t="n">
        <f aca="false">COUNTIF(Species!$J$2:$J$186,A7)+COUNTIF(Species!$L$2:$L$186,A7)+COUNTIF(Species!$N$2:$N$186,A7)</f>
        <v>28</v>
      </c>
      <c r="I7" s="152" t="n">
        <f aca="false">IFERROR((SUMIF(Species!$J$2:$J$186,A7,Species!$K$2:$K$186)+SUMIF(Species!$L$2:$L$186,A7,Species!$M$2:$M$186)+SUMIF(Species!$N$2:$N$186,A7,Species!$O$2:$O$186))/H7,0)</f>
        <v>2.92857142857143</v>
      </c>
    </row>
    <row r="8" customFormat="false" ht="23.85" hidden="false" customHeight="false" outlineLevel="0" collapsed="false">
      <c r="A8" s="151" t="s">
        <v>113</v>
      </c>
      <c r="B8" s="151" t="s">
        <v>1423</v>
      </c>
      <c r="C8" s="151" t="s">
        <v>1424</v>
      </c>
      <c r="D8" s="151" t="s">
        <v>1403</v>
      </c>
      <c r="E8" s="151" t="s">
        <v>1425</v>
      </c>
      <c r="F8" s="151" t="s">
        <v>1426</v>
      </c>
      <c r="G8" s="151" t="s">
        <v>1427</v>
      </c>
      <c r="H8" s="6" t="n">
        <f aca="false">COUNTIF(Species!$J$2:$J$186,A8)+COUNTIF(Species!$L$2:$L$186,A8)+COUNTIF(Species!$N$2:$N$186,A8)</f>
        <v>24</v>
      </c>
      <c r="I8" s="152" t="n">
        <f aca="false">IFERROR((SUMIF(Species!$J$2:$J$186,A8,Species!$K$2:$K$186)+SUMIF(Species!$L$2:$L$186,A8,Species!$M$2:$M$186)+SUMIF(Species!$N$2:$N$186,A8,Species!$O$2:$O$186))/H8,0)</f>
        <v>3.625</v>
      </c>
    </row>
    <row r="9" customFormat="false" ht="15" hidden="false" customHeight="false" outlineLevel="0" collapsed="false">
      <c r="A9" s="151" t="s">
        <v>80</v>
      </c>
      <c r="B9" s="151" t="s">
        <v>1428</v>
      </c>
      <c r="C9" s="151" t="s">
        <v>1429</v>
      </c>
      <c r="D9" s="151" t="s">
        <v>1419</v>
      </c>
      <c r="E9" s="151" t="s">
        <v>1430</v>
      </c>
      <c r="F9" s="151" t="s">
        <v>1431</v>
      </c>
      <c r="G9" s="151" t="s">
        <v>1416</v>
      </c>
      <c r="H9" s="6" t="n">
        <f aca="false">COUNTIF(Species!$J$2:$J$186,A9)+COUNTIF(Species!$L$2:$L$186,A9)+COUNTIF(Species!$N$2:$N$186,A9)</f>
        <v>4</v>
      </c>
      <c r="I9" s="152" t="n">
        <f aca="false">IFERROR((SUMIF(Species!$J$2:$J$186,A9,Species!$K$2:$K$186)+SUMIF(Species!$L$2:$L$186,A9,Species!$M$2:$M$186)+SUMIF(Species!$N$2:$N$186,A9,Species!$O$2:$O$186))/H9,0)</f>
        <v>3.5</v>
      </c>
    </row>
    <row r="10" customFormat="false" ht="15" hidden="false" customHeight="false" outlineLevel="0" collapsed="false">
      <c r="A10" s="151" t="s">
        <v>57</v>
      </c>
      <c r="B10" s="151" t="s">
        <v>1432</v>
      </c>
      <c r="C10" s="151" t="s">
        <v>1433</v>
      </c>
      <c r="D10" s="151" t="s">
        <v>1434</v>
      </c>
      <c r="E10" s="151" t="s">
        <v>1435</v>
      </c>
      <c r="F10" s="151" t="s">
        <v>1436</v>
      </c>
      <c r="G10" s="151" t="s">
        <v>1437</v>
      </c>
      <c r="H10" s="6" t="n">
        <f aca="false">COUNTIF(Species!$J$2:$J$186,A10)+COUNTIF(Species!$L$2:$L$186,A10)+COUNTIF(Species!$N$2:$N$186,A10)</f>
        <v>15</v>
      </c>
      <c r="I10" s="152" t="n">
        <f aca="false">IFERROR((SUMIF(Species!$J$2:$J$186,A10,Species!$K$2:$K$186)+SUMIF(Species!$L$2:$L$186,A10,Species!$M$2:$M$186)+SUMIF(Species!$N$2:$N$186,A10,Species!$O$2:$O$186))/H10,0)</f>
        <v>4.26666666666667</v>
      </c>
    </row>
    <row r="11" customFormat="false" ht="15" hidden="false" customHeight="false" outlineLevel="0" collapsed="false">
      <c r="A11" s="151" t="s">
        <v>114</v>
      </c>
      <c r="B11" s="151" t="s">
        <v>1438</v>
      </c>
      <c r="C11" s="151" t="s">
        <v>1439</v>
      </c>
      <c r="D11" s="151" t="s">
        <v>1440</v>
      </c>
      <c r="E11" s="151" t="s">
        <v>1441</v>
      </c>
      <c r="F11" s="151" t="s">
        <v>1442</v>
      </c>
      <c r="G11" s="151" t="s">
        <v>1443</v>
      </c>
      <c r="H11" s="6" t="n">
        <f aca="false">COUNTIF(Species!$J$2:$J$186,A11)+COUNTIF(Species!$L$2:$L$186,A11)+COUNTIF(Species!$N$2:$N$186,A11)</f>
        <v>14</v>
      </c>
      <c r="I11" s="152" t="n">
        <f aca="false">IFERROR((SUMIF(Species!$J$2:$J$186,A11,Species!$K$2:$K$186)+SUMIF(Species!$L$2:$L$186,A11,Species!$M$2:$M$186)+SUMIF(Species!$N$2:$N$186,A11,Species!$O$2:$O$186))/H11,0)</f>
        <v>3.35714285714286</v>
      </c>
    </row>
    <row r="12" customFormat="false" ht="15" hidden="false" customHeight="false" outlineLevel="0" collapsed="false">
      <c r="A12" s="151" t="s">
        <v>176</v>
      </c>
      <c r="B12" s="151" t="s">
        <v>1444</v>
      </c>
      <c r="C12" s="151" t="s">
        <v>1445</v>
      </c>
      <c r="D12" s="151" t="s">
        <v>1446</v>
      </c>
      <c r="E12" s="151" t="s">
        <v>1404</v>
      </c>
      <c r="F12" s="151" t="s">
        <v>1447</v>
      </c>
      <c r="G12" s="151" t="s">
        <v>1448</v>
      </c>
      <c r="H12" s="6" t="n">
        <f aca="false">COUNTIF(Species!$J$2:$J$186,A12)+COUNTIF(Species!$L$2:$L$186,A12)+COUNTIF(Species!$N$2:$N$186,A12)</f>
        <v>17</v>
      </c>
      <c r="I12" s="152" t="n">
        <f aca="false">IFERROR((SUMIF(Species!$J$2:$J$186,A12,Species!$K$2:$K$186)+SUMIF(Species!$L$2:$L$186,A12,Species!$M$2:$M$186)+SUMIF(Species!$N$2:$N$186,A12,Species!$O$2:$O$186))/H12,0)</f>
        <v>3.76470588235294</v>
      </c>
    </row>
    <row r="13" customFormat="false" ht="15" hidden="false" customHeight="false" outlineLevel="0" collapsed="false">
      <c r="A13" s="151" t="s">
        <v>58</v>
      </c>
      <c r="B13" s="151" t="s">
        <v>1449</v>
      </c>
      <c r="C13" s="151" t="s">
        <v>1450</v>
      </c>
      <c r="D13" s="151" t="s">
        <v>1403</v>
      </c>
      <c r="E13" s="151" t="s">
        <v>1404</v>
      </c>
      <c r="F13" s="151" t="s">
        <v>1451</v>
      </c>
      <c r="G13" s="151" t="s">
        <v>1452</v>
      </c>
      <c r="H13" s="6" t="n">
        <f aca="false">COUNTIF(Species!$J$2:$J$186,A13)+COUNTIF(Species!$L$2:$L$186,A13)+COUNTIF(Species!$N$2:$N$186,A13)</f>
        <v>18</v>
      </c>
      <c r="I13" s="152" t="n">
        <f aca="false">IFERROR((SUMIF(Species!$J$2:$J$186,A13,Species!$K$2:$K$186)+SUMIF(Species!$L$2:$L$186,A13,Species!$M$2:$M$186)+SUMIF(Species!$N$2:$N$186,A13,Species!$O$2:$O$186))/H13,0)</f>
        <v>3.38888888888889</v>
      </c>
    </row>
    <row r="14" customFormat="false" ht="15" hidden="false" customHeight="false" outlineLevel="0" collapsed="false">
      <c r="A14" s="151" t="s">
        <v>48</v>
      </c>
      <c r="B14" s="151" t="s">
        <v>1453</v>
      </c>
      <c r="C14" s="151" t="s">
        <v>1454</v>
      </c>
      <c r="D14" s="151" t="s">
        <v>1403</v>
      </c>
      <c r="E14" s="151" t="s">
        <v>1455</v>
      </c>
      <c r="F14" s="151" t="s">
        <v>1456</v>
      </c>
      <c r="G14" s="151" t="s">
        <v>1457</v>
      </c>
      <c r="H14" s="6" t="n">
        <f aca="false">COUNTIF(Species!$J$2:$J$186,A14)+COUNTIF(Species!$L$2:$L$186,A14)+COUNTIF(Species!$N$2:$N$186,A14)</f>
        <v>54</v>
      </c>
      <c r="I14" s="152" t="n">
        <f aca="false">IFERROR((SUMIF(Species!$J$2:$J$186,A14,Species!$K$2:$K$186)+SUMIF(Species!$L$2:$L$186,A14,Species!$M$2:$M$186)+SUMIF(Species!$N$2:$N$186,A14,Species!$O$2:$O$186))/H14,0)</f>
        <v>3.16666666666667</v>
      </c>
    </row>
    <row r="15" customFormat="false" ht="15" hidden="false" customHeight="false" outlineLevel="0" collapsed="false">
      <c r="A15" s="151" t="s">
        <v>108</v>
      </c>
      <c r="B15" s="151" t="s">
        <v>1458</v>
      </c>
      <c r="C15" s="151" t="s">
        <v>1459</v>
      </c>
      <c r="D15" s="151" t="s">
        <v>1460</v>
      </c>
      <c r="E15" s="151" t="s">
        <v>1461</v>
      </c>
      <c r="F15" s="151" t="s">
        <v>1462</v>
      </c>
      <c r="G15" s="151" t="s">
        <v>1463</v>
      </c>
      <c r="H15" s="6" t="n">
        <f aca="false">COUNTIF(Species!$J$2:$J$186,A15)+COUNTIF(Species!$L$2:$L$186,A15)+COUNTIF(Species!$N$2:$N$186,A15)</f>
        <v>25</v>
      </c>
      <c r="I15" s="152" t="n">
        <f aca="false">IFERROR((SUMIF(Species!$J$2:$J$186,A15,Species!$K$2:$K$186)+SUMIF(Species!$L$2:$L$186,A15,Species!$M$2:$M$186)+SUMIF(Species!$N$2:$N$186,A15,Species!$O$2:$O$186))/H15,0)</f>
        <v>3.68</v>
      </c>
    </row>
    <row r="16" customFormat="false" ht="15" hidden="false" customHeight="false" outlineLevel="0" collapsed="false">
      <c r="A16" s="151" t="s">
        <v>66</v>
      </c>
      <c r="B16" s="151" t="s">
        <v>1464</v>
      </c>
      <c r="C16" s="151" t="s">
        <v>1465</v>
      </c>
      <c r="D16" s="151" t="s">
        <v>1466</v>
      </c>
      <c r="E16" s="151" t="s">
        <v>1467</v>
      </c>
      <c r="F16" s="151" t="s">
        <v>1468</v>
      </c>
      <c r="G16" s="151" t="s">
        <v>1469</v>
      </c>
      <c r="H16" s="6" t="n">
        <f aca="false">COUNTIF(Species!$J$2:$J$186,A16)+COUNTIF(Species!$L$2:$L$186,A16)+COUNTIF(Species!$N$2:$N$186,A16)</f>
        <v>34</v>
      </c>
      <c r="I16" s="152" t="n">
        <f aca="false">IFERROR((SUMIF(Species!$J$2:$J$186,A16,Species!$K$2:$K$186)+SUMIF(Species!$L$2:$L$186,A16,Species!$M$2:$M$186)+SUMIF(Species!$N$2:$N$186,A16,Species!$O$2:$O$186))/H16,0)</f>
        <v>4.26470588235294</v>
      </c>
    </row>
    <row r="17" customFormat="false" ht="15" hidden="false" customHeight="false" outlineLevel="0" collapsed="false">
      <c r="A17" s="151" t="s">
        <v>856</v>
      </c>
      <c r="B17" s="151" t="s">
        <v>1470</v>
      </c>
      <c r="C17" s="151" t="s">
        <v>1471</v>
      </c>
      <c r="D17" s="151" t="s">
        <v>1472</v>
      </c>
      <c r="E17" s="151" t="s">
        <v>1441</v>
      </c>
      <c r="F17" s="151" t="s">
        <v>1473</v>
      </c>
      <c r="G17" s="151" t="s">
        <v>1474</v>
      </c>
      <c r="H17" s="6" t="n">
        <f aca="false">COUNTIF(Species!$J$2:$J$186,A17)+COUNTIF(Species!$L$2:$L$186,A17)+COUNTIF(Species!$N$2:$N$186,A17)</f>
        <v>12</v>
      </c>
      <c r="I17" s="152" t="n">
        <f aca="false">IFERROR((SUMIF(Species!$J$2:$J$186,A17,Species!$K$2:$K$186)+SUMIF(Species!$L$2:$L$186,A17,Species!$M$2:$M$186)+SUMIF(Species!$N$2:$N$186,A17,Species!$O$2:$O$186))/H17,0)</f>
        <v>4</v>
      </c>
    </row>
    <row r="18" customFormat="false" ht="15" hidden="false" customHeight="false" outlineLevel="0" collapsed="false">
      <c r="A18" s="151" t="s">
        <v>917</v>
      </c>
      <c r="B18" s="151" t="s">
        <v>1475</v>
      </c>
      <c r="C18" s="151" t="s">
        <v>1476</v>
      </c>
      <c r="D18" s="151" t="s">
        <v>1477</v>
      </c>
      <c r="E18" s="151" t="s">
        <v>1478</v>
      </c>
      <c r="F18" s="151" t="s">
        <v>1479</v>
      </c>
      <c r="G18" s="151" t="s">
        <v>1480</v>
      </c>
      <c r="H18" s="6" t="n">
        <f aca="false">COUNTIF(Species!$J$2:$J$186,A18)+COUNTIF(Species!$L$2:$L$186,A18)+COUNTIF(Species!$N$2:$N$186,A18)</f>
        <v>4</v>
      </c>
      <c r="I18" s="152" t="n">
        <f aca="false">IFERROR((SUMIF(Species!$J$2:$J$186,A18,Species!$K$2:$K$186)+SUMIF(Species!$L$2:$L$186,A18,Species!$M$2:$M$186)+SUMIF(Species!$N$2:$N$186,A18,Species!$O$2:$O$186))/H18,0)</f>
        <v>6.5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40"/>
    <col collapsed="false" customWidth="true" hidden="false" outlineLevel="0" max="7" min="7" style="0" width="30"/>
  </cols>
  <sheetData>
    <row r="1" customFormat="false" ht="15" hidden="false" customHeight="false" outlineLevel="0" collapsed="false">
      <c r="A1" s="4" t="s">
        <v>1481</v>
      </c>
      <c r="B1" s="4" t="s">
        <v>1482</v>
      </c>
      <c r="C1" s="4" t="s">
        <v>1483</v>
      </c>
      <c r="D1" s="4" t="s">
        <v>1484</v>
      </c>
      <c r="E1" s="4" t="s">
        <v>1485</v>
      </c>
      <c r="F1" s="4" t="s">
        <v>1486</v>
      </c>
      <c r="G1" s="4" t="s">
        <v>1487</v>
      </c>
    </row>
    <row r="2" customFormat="false" ht="15" hidden="false" customHeight="false" outlineLevel="0" collapsed="false">
      <c r="A2" s="151" t="s">
        <v>1488</v>
      </c>
      <c r="B2" s="151" t="s">
        <v>1489</v>
      </c>
      <c r="C2" s="151" t="s">
        <v>1490</v>
      </c>
      <c r="D2" s="151" t="s">
        <v>1491</v>
      </c>
      <c r="E2" s="151" t="s">
        <v>1492</v>
      </c>
      <c r="F2" s="151" t="s">
        <v>1493</v>
      </c>
      <c r="G2" s="151" t="s">
        <v>1494</v>
      </c>
    </row>
    <row r="3" customFormat="false" ht="15" hidden="false" customHeight="false" outlineLevel="0" collapsed="false">
      <c r="A3" s="151" t="s">
        <v>1495</v>
      </c>
      <c r="B3" s="151" t="s">
        <v>1496</v>
      </c>
      <c r="C3" s="151" t="s">
        <v>1497</v>
      </c>
      <c r="D3" s="151" t="s">
        <v>1498</v>
      </c>
      <c r="E3" s="151" t="s">
        <v>1499</v>
      </c>
      <c r="F3" s="151" t="s">
        <v>1500</v>
      </c>
      <c r="G3" s="151" t="s">
        <v>1501</v>
      </c>
    </row>
    <row r="4" customFormat="false" ht="15" hidden="false" customHeight="false" outlineLevel="0" collapsed="false">
      <c r="A4" s="151" t="s">
        <v>1502</v>
      </c>
      <c r="B4" s="151" t="s">
        <v>1503</v>
      </c>
      <c r="C4" s="151" t="s">
        <v>1504</v>
      </c>
      <c r="D4" s="151" t="s">
        <v>1505</v>
      </c>
      <c r="E4" s="151" t="s">
        <v>1506</v>
      </c>
      <c r="F4" s="151" t="s">
        <v>1507</v>
      </c>
      <c r="G4" s="151" t="s">
        <v>1508</v>
      </c>
    </row>
    <row r="5" customFormat="false" ht="15" hidden="false" customHeight="false" outlineLevel="0" collapsed="false">
      <c r="A5" s="151" t="s">
        <v>1509</v>
      </c>
      <c r="B5" s="151" t="s">
        <v>1510</v>
      </c>
      <c r="C5" s="151" t="s">
        <v>1511</v>
      </c>
      <c r="D5" s="151" t="s">
        <v>1512</v>
      </c>
      <c r="E5" s="151" t="s">
        <v>1513</v>
      </c>
      <c r="F5" s="151" t="s">
        <v>1514</v>
      </c>
      <c r="G5" s="151" t="s">
        <v>1515</v>
      </c>
    </row>
    <row r="6" customFormat="false" ht="15" hidden="false" customHeight="false" outlineLevel="0" collapsed="false">
      <c r="A6" s="151" t="s">
        <v>1516</v>
      </c>
      <c r="B6" s="151" t="s">
        <v>1517</v>
      </c>
      <c r="C6" s="151" t="s">
        <v>1518</v>
      </c>
      <c r="D6" s="151" t="s">
        <v>1519</v>
      </c>
      <c r="E6" s="151" t="s">
        <v>1520</v>
      </c>
      <c r="F6" s="151" t="s">
        <v>1521</v>
      </c>
      <c r="G6" s="151" t="s">
        <v>1522</v>
      </c>
    </row>
    <row r="7" customFormat="false" ht="15" hidden="false" customHeight="false" outlineLevel="0" collapsed="false">
      <c r="A7" s="151" t="s">
        <v>1523</v>
      </c>
      <c r="B7" s="151" t="s">
        <v>1524</v>
      </c>
      <c r="C7" s="151" t="s">
        <v>1525</v>
      </c>
      <c r="D7" s="151" t="s">
        <v>1526</v>
      </c>
      <c r="E7" s="151" t="s">
        <v>1527</v>
      </c>
      <c r="F7" s="151" t="s">
        <v>1528</v>
      </c>
      <c r="G7" s="151" t="s">
        <v>1529</v>
      </c>
    </row>
    <row r="8" customFormat="false" ht="15" hidden="false" customHeight="false" outlineLevel="0" collapsed="false">
      <c r="A8" s="151" t="s">
        <v>1530</v>
      </c>
      <c r="B8" s="151" t="s">
        <v>1531</v>
      </c>
      <c r="C8" s="151" t="s">
        <v>1532</v>
      </c>
      <c r="D8" s="151" t="s">
        <v>1533</v>
      </c>
      <c r="E8" s="151" t="s">
        <v>1534</v>
      </c>
      <c r="F8" s="151" t="s">
        <v>1535</v>
      </c>
      <c r="G8" s="151" t="s">
        <v>1536</v>
      </c>
    </row>
    <row r="9" customFormat="false" ht="23.85" hidden="false" customHeight="false" outlineLevel="0" collapsed="false">
      <c r="A9" s="151" t="s">
        <v>1537</v>
      </c>
      <c r="B9" s="151" t="s">
        <v>1538</v>
      </c>
      <c r="C9" s="151" t="s">
        <v>1539</v>
      </c>
      <c r="D9" s="151" t="s">
        <v>1540</v>
      </c>
      <c r="E9" s="151" t="s">
        <v>1541</v>
      </c>
      <c r="F9" s="151" t="s">
        <v>1542</v>
      </c>
      <c r="G9" s="151" t="s">
        <v>1543</v>
      </c>
    </row>
    <row r="10" customFormat="false" ht="23.85" hidden="false" customHeight="false" outlineLevel="0" collapsed="false">
      <c r="A10" s="151" t="s">
        <v>1544</v>
      </c>
      <c r="B10" s="151" t="s">
        <v>1545</v>
      </c>
      <c r="C10" s="151" t="s">
        <v>1546</v>
      </c>
      <c r="D10" s="151" t="s">
        <v>1547</v>
      </c>
      <c r="E10" s="151" t="s">
        <v>1548</v>
      </c>
      <c r="F10" s="151" t="s">
        <v>1549</v>
      </c>
      <c r="G10" s="151" t="s">
        <v>1550</v>
      </c>
    </row>
    <row r="11" customFormat="false" ht="23.85" hidden="false" customHeight="false" outlineLevel="0" collapsed="false">
      <c r="A11" s="151" t="s">
        <v>1551</v>
      </c>
      <c r="B11" s="151" t="s">
        <v>1552</v>
      </c>
      <c r="C11" s="151" t="s">
        <v>1553</v>
      </c>
      <c r="D11" s="151" t="s">
        <v>1554</v>
      </c>
      <c r="E11" s="151" t="s">
        <v>1555</v>
      </c>
      <c r="F11" s="151" t="s">
        <v>1556</v>
      </c>
      <c r="G11" s="151" t="s">
        <v>1557</v>
      </c>
    </row>
    <row r="12" customFormat="false" ht="15" hidden="false" customHeight="false" outlineLevel="0" collapsed="false">
      <c r="A12" s="151" t="s">
        <v>1558</v>
      </c>
      <c r="B12" s="151" t="s">
        <v>1559</v>
      </c>
      <c r="C12" s="151" t="s">
        <v>1560</v>
      </c>
      <c r="D12" s="151" t="s">
        <v>1561</v>
      </c>
      <c r="E12" s="151" t="s">
        <v>1562</v>
      </c>
      <c r="F12" s="151" t="s">
        <v>1563</v>
      </c>
      <c r="G12" s="151" t="s">
        <v>1564</v>
      </c>
    </row>
    <row r="13" customFormat="false" ht="15" hidden="false" customHeight="false" outlineLevel="0" collapsed="false">
      <c r="A13" s="151" t="s">
        <v>1565</v>
      </c>
      <c r="B13" s="151" t="s">
        <v>1566</v>
      </c>
      <c r="C13" s="151" t="s">
        <v>1567</v>
      </c>
      <c r="D13" s="151" t="s">
        <v>1568</v>
      </c>
      <c r="E13" s="151" t="s">
        <v>1569</v>
      </c>
      <c r="F13" s="151" t="s">
        <v>1570</v>
      </c>
      <c r="G13" s="151" t="s">
        <v>1571</v>
      </c>
    </row>
    <row r="14" customFormat="false" ht="15" hidden="false" customHeight="false" outlineLevel="0" collapsed="false">
      <c r="A14" s="151" t="s">
        <v>1572</v>
      </c>
      <c r="B14" s="151" t="s">
        <v>1573</v>
      </c>
      <c r="C14" s="151" t="s">
        <v>1574</v>
      </c>
      <c r="D14" s="151" t="s">
        <v>1575</v>
      </c>
      <c r="E14" s="151" t="s">
        <v>1576</v>
      </c>
      <c r="F14" s="151" t="s">
        <v>1577</v>
      </c>
      <c r="G14" s="151" t="s">
        <v>1578</v>
      </c>
    </row>
    <row r="15" customFormat="false" ht="15" hidden="false" customHeight="false" outlineLevel="0" collapsed="false">
      <c r="A15" s="151" t="s">
        <v>1579</v>
      </c>
      <c r="B15" s="151" t="s">
        <v>1580</v>
      </c>
      <c r="C15" s="151" t="s">
        <v>1581</v>
      </c>
      <c r="D15" s="151" t="s">
        <v>1582</v>
      </c>
      <c r="E15" s="151" t="s">
        <v>1583</v>
      </c>
      <c r="F15" s="151" t="s">
        <v>1584</v>
      </c>
      <c r="G15" s="151" t="s">
        <v>1585</v>
      </c>
    </row>
    <row r="16" customFormat="false" ht="15" hidden="false" customHeight="false" outlineLevel="0" collapsed="false">
      <c r="A16" s="151" t="s">
        <v>1586</v>
      </c>
      <c r="B16" s="151" t="s">
        <v>1587</v>
      </c>
      <c r="C16" s="151" t="s">
        <v>1588</v>
      </c>
      <c r="D16" s="151" t="s">
        <v>1589</v>
      </c>
      <c r="E16" s="151" t="s">
        <v>1590</v>
      </c>
      <c r="F16" s="151" t="s">
        <v>1591</v>
      </c>
      <c r="G16" s="151" t="s">
        <v>1592</v>
      </c>
    </row>
    <row r="17" customFormat="false" ht="15" hidden="false" customHeight="false" outlineLevel="0" collapsed="false">
      <c r="A17" s="151" t="s">
        <v>1593</v>
      </c>
      <c r="B17" s="151" t="s">
        <v>1594</v>
      </c>
      <c r="C17" s="151" t="s">
        <v>1595</v>
      </c>
      <c r="D17" s="151" t="s">
        <v>1596</v>
      </c>
      <c r="E17" s="151" t="s">
        <v>1597</v>
      </c>
      <c r="F17" s="151" t="s">
        <v>1598</v>
      </c>
      <c r="G17" s="151" t="s">
        <v>1599</v>
      </c>
    </row>
    <row r="18" customFormat="false" ht="15" hidden="false" customHeight="false" outlineLevel="0" collapsed="false">
      <c r="A18" s="151" t="s">
        <v>1600</v>
      </c>
      <c r="B18" s="151" t="s">
        <v>1601</v>
      </c>
      <c r="C18" s="151" t="s">
        <v>1602</v>
      </c>
      <c r="D18" s="151" t="s">
        <v>1603</v>
      </c>
      <c r="E18" s="151" t="s">
        <v>1604</v>
      </c>
      <c r="F18" s="151" t="s">
        <v>1605</v>
      </c>
      <c r="G18" s="151" t="s">
        <v>1606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14" min="3" style="0" width="5"/>
  </cols>
  <sheetData>
    <row r="1" customFormat="false" ht="15" hidden="false" customHeight="false" outlineLevel="0" collapsed="false">
      <c r="A1" s="4" t="s">
        <v>1607</v>
      </c>
      <c r="B1" s="4" t="s">
        <v>1608</v>
      </c>
      <c r="C1" s="4" t="s">
        <v>1609</v>
      </c>
      <c r="D1" s="4" t="s">
        <v>1610</v>
      </c>
      <c r="E1" s="4" t="s">
        <v>1611</v>
      </c>
      <c r="F1" s="4" t="s">
        <v>1612</v>
      </c>
      <c r="G1" s="4" t="s">
        <v>1613</v>
      </c>
      <c r="H1" s="4" t="s">
        <v>1614</v>
      </c>
      <c r="I1" s="4" t="s">
        <v>1615</v>
      </c>
      <c r="J1" s="4" t="s">
        <v>1616</v>
      </c>
      <c r="K1" s="4" t="s">
        <v>1617</v>
      </c>
      <c r="L1" s="4" t="s">
        <v>1618</v>
      </c>
      <c r="M1" s="4" t="s">
        <v>1619</v>
      </c>
      <c r="N1" s="4" t="s">
        <v>1620</v>
      </c>
    </row>
    <row r="2" customFormat="false" ht="15" hidden="false" customHeight="false" outlineLevel="0" collapsed="false">
      <c r="A2" s="6" t="str">
        <f aca="false">Species!B2</f>
        <v>Lamb's Quarters</v>
      </c>
      <c r="B2" s="6" t="str">
        <f aca="false">Species!F2</f>
        <v>Leaf</v>
      </c>
      <c r="C2" s="153" t="str">
        <f aca="false">IF(Species!$G2&lt;=Species!$H2,IF(AND(1&gt;=Species!$G2,1&lt;=Species!$H2),"H",""),IF(OR(1&gt;=Species!$G2,1&lt;=Species!$H2),"H",""))&amp;IF(Species!$I2=1,"S","")</f>
        <v/>
      </c>
      <c r="D2" s="153" t="str">
        <f aca="false">IF(Species!$G2&lt;=Species!$H2,IF(AND(2&gt;=Species!$G2,2&lt;=Species!$H2),"H",""),IF(OR(2&gt;=Species!$G2,2&lt;=Species!$H2),"H",""))&amp;IF(Species!$I2=2,"S","")</f>
        <v/>
      </c>
      <c r="E2" s="153" t="str">
        <f aca="false">IF(Species!$G2&lt;=Species!$H2,IF(AND(3&gt;=Species!$G2,3&lt;=Species!$H2),"H",""),IF(OR(3&gt;=Species!$G2,3&lt;=Species!$H2),"H",""))&amp;IF(Species!$I2=3,"S","")</f>
        <v/>
      </c>
      <c r="F2" s="153" t="str">
        <f aca="false">IF(Species!$G2&lt;=Species!$H2,IF(AND(4&gt;=Species!$G2,4&lt;=Species!$H2),"H",""),IF(OR(4&gt;=Species!$G2,4&lt;=Species!$H2),"H",""))&amp;IF(Species!$I2=4,"S","")</f>
        <v/>
      </c>
      <c r="G2" s="153" t="str">
        <f aca="false">IF(Species!$G2&lt;=Species!$H2,IF(AND(5&gt;=Species!$G2,5&lt;=Species!$H2),"H",""),IF(OR(5&gt;=Species!$G2,5&lt;=Species!$H2),"H",""))&amp;IF(Species!$I2=5,"S","")</f>
        <v>H</v>
      </c>
      <c r="H2" s="153" t="str">
        <f aca="false">IF(Species!$G2&lt;=Species!$H2,IF(AND(6&gt;=Species!$G2,6&lt;=Species!$H2),"H",""),IF(OR(6&gt;=Species!$G2,6&lt;=Species!$H2),"H",""))&amp;IF(Species!$I2=6,"S","")</f>
        <v>H</v>
      </c>
      <c r="I2" s="153" t="str">
        <f aca="false">IF(Species!$G2&lt;=Species!$H2,IF(AND(7&gt;=Species!$G2,7&lt;=Species!$H2),"H",""),IF(OR(7&gt;=Species!$G2,7&lt;=Species!$H2),"H",""))&amp;IF(Species!$I2=7,"S","")</f>
        <v>H</v>
      </c>
      <c r="J2" s="153" t="str">
        <f aca="false">IF(Species!$G2&lt;=Species!$H2,IF(AND(8&gt;=Species!$G2,8&lt;=Species!$H2),"H",""),IF(OR(8&gt;=Species!$G2,8&lt;=Species!$H2),"H",""))&amp;IF(Species!$I2=8,"S","")</f>
        <v>H</v>
      </c>
      <c r="K2" s="153" t="str">
        <f aca="false">IF(Species!$G2&lt;=Species!$H2,IF(AND(9&gt;=Species!$G2,9&lt;=Species!$H2),"H",""),IF(OR(9&gt;=Species!$G2,9&lt;=Species!$H2),"H",""))&amp;IF(Species!$I2=9,"S","")</f>
        <v>S</v>
      </c>
      <c r="L2" s="153" t="str">
        <f aca="false">IF(Species!$G2&lt;=Species!$H2,IF(AND(10&gt;=Species!$G2,10&lt;=Species!$H2),"H",""),IF(OR(10&gt;=Species!$G2,10&lt;=Species!$H2),"H",""))&amp;IF(Species!$I2=10,"S","")</f>
        <v/>
      </c>
      <c r="M2" s="153" t="str">
        <f aca="false">IF(Species!$G2&lt;=Species!$H2,IF(AND(11&gt;=Species!$G2,11&lt;=Species!$H2),"H",""),IF(OR(11&gt;=Species!$G2,11&lt;=Species!$H2),"H",""))&amp;IF(Species!$I2=11,"S","")</f>
        <v/>
      </c>
      <c r="N2" s="153" t="str">
        <f aca="false">IF(Species!$G2&lt;=Species!$H2,IF(AND(12&gt;=Species!$G2,12&lt;=Species!$H2),"H",""),IF(OR(12&gt;=Species!$G2,12&lt;=Species!$H2),"H",""))&amp;IF(Species!$I2=12,"S","")</f>
        <v/>
      </c>
    </row>
    <row r="3" customFormat="false" ht="15" hidden="false" customHeight="false" outlineLevel="0" collapsed="false">
      <c r="A3" s="6" t="str">
        <f aca="false">Species!B3</f>
        <v>Chickweed</v>
      </c>
      <c r="B3" s="6" t="str">
        <f aca="false">Species!F3</f>
        <v>Whole</v>
      </c>
      <c r="C3" s="153" t="str">
        <f aca="false">IF(Species!$G3&lt;=Species!$H3,IF(AND(1&gt;=Species!$G3,1&lt;=Species!$H3),"H",""),IF(OR(1&gt;=Species!$G3,1&lt;=Species!$H3),"H",""))&amp;IF(Species!$I3=1,"S","")</f>
        <v/>
      </c>
      <c r="D3" s="153" t="str">
        <f aca="false">IF(Species!$G3&lt;=Species!$H3,IF(AND(2&gt;=Species!$G3,2&lt;=Species!$H3),"H",""),IF(OR(2&gt;=Species!$G3,2&lt;=Species!$H3),"H",""))&amp;IF(Species!$I3=2,"S","")</f>
        <v/>
      </c>
      <c r="E3" s="153" t="str">
        <f aca="false">IF(Species!$G3&lt;=Species!$H3,IF(AND(3&gt;=Species!$G3,3&lt;=Species!$H3),"H",""),IF(OR(3&gt;=Species!$G3,3&lt;=Species!$H3),"H",""))&amp;IF(Species!$I3=3,"S","")</f>
        <v>H</v>
      </c>
      <c r="F3" s="153" t="str">
        <f aca="false">IF(Species!$G3&lt;=Species!$H3,IF(AND(4&gt;=Species!$G3,4&lt;=Species!$H3),"H",""),IF(OR(4&gt;=Species!$G3,4&lt;=Species!$H3),"H",""))&amp;IF(Species!$I3=4,"S","")</f>
        <v>H</v>
      </c>
      <c r="G3" s="153" t="str">
        <f aca="false">IF(Species!$G3&lt;=Species!$H3,IF(AND(5&gt;=Species!$G3,5&lt;=Species!$H3),"H",""),IF(OR(5&gt;=Species!$G3,5&lt;=Species!$H3),"H",""))&amp;IF(Species!$I3=5,"S","")</f>
        <v>HS</v>
      </c>
      <c r="H3" s="153" t="str">
        <f aca="false">IF(Species!$G3&lt;=Species!$H3,IF(AND(6&gt;=Species!$G3,6&lt;=Species!$H3),"H",""),IF(OR(6&gt;=Species!$G3,6&lt;=Species!$H3),"H",""))&amp;IF(Species!$I3=6,"S","")</f>
        <v/>
      </c>
      <c r="I3" s="153" t="str">
        <f aca="false">IF(Species!$G3&lt;=Species!$H3,IF(AND(7&gt;=Species!$G3,7&lt;=Species!$H3),"H",""),IF(OR(7&gt;=Species!$G3,7&lt;=Species!$H3),"H",""))&amp;IF(Species!$I3=7,"S","")</f>
        <v/>
      </c>
      <c r="J3" s="153" t="str">
        <f aca="false">IF(Species!$G3&lt;=Species!$H3,IF(AND(8&gt;=Species!$G3,8&lt;=Species!$H3),"H",""),IF(OR(8&gt;=Species!$G3,8&lt;=Species!$H3),"H",""))&amp;IF(Species!$I3=8,"S","")</f>
        <v/>
      </c>
      <c r="K3" s="153" t="str">
        <f aca="false">IF(Species!$G3&lt;=Species!$H3,IF(AND(9&gt;=Species!$G3,9&lt;=Species!$H3),"H",""),IF(OR(9&gt;=Species!$G3,9&lt;=Species!$H3),"H",""))&amp;IF(Species!$I3=9,"S","")</f>
        <v/>
      </c>
      <c r="L3" s="153" t="str">
        <f aca="false">IF(Species!$G3&lt;=Species!$H3,IF(AND(10&gt;=Species!$G3,10&lt;=Species!$H3),"H",""),IF(OR(10&gt;=Species!$G3,10&lt;=Species!$H3),"H",""))&amp;IF(Species!$I3=10,"S","")</f>
        <v/>
      </c>
      <c r="M3" s="153" t="str">
        <f aca="false">IF(Species!$G3&lt;=Species!$H3,IF(AND(11&gt;=Species!$G3,11&lt;=Species!$H3),"H",""),IF(OR(11&gt;=Species!$G3,11&lt;=Species!$H3),"H",""))&amp;IF(Species!$I3=11,"S","")</f>
        <v/>
      </c>
      <c r="N3" s="153" t="str">
        <f aca="false">IF(Species!$G3&lt;=Species!$H3,IF(AND(12&gt;=Species!$G3,12&lt;=Species!$H3),"H",""),IF(OR(12&gt;=Species!$G3,12&lt;=Species!$H3),"H",""))&amp;IF(Species!$I3=12,"S","")</f>
        <v/>
      </c>
    </row>
    <row r="4" customFormat="false" ht="15" hidden="false" customHeight="false" outlineLevel="0" collapsed="false">
      <c r="A4" s="6" t="str">
        <f aca="false">Species!B4</f>
        <v>Purple Deadnettle</v>
      </c>
      <c r="B4" s="6" t="str">
        <f aca="false">Species!F4</f>
        <v>Whole</v>
      </c>
      <c r="C4" s="153" t="str">
        <f aca="false">IF(Species!$G4&lt;=Species!$H4,IF(AND(1&gt;=Species!$G4,1&lt;=Species!$H4),"H",""),IF(OR(1&gt;=Species!$G4,1&lt;=Species!$H4),"H",""))&amp;IF(Species!$I4=1,"S","")</f>
        <v/>
      </c>
      <c r="D4" s="153" t="str">
        <f aca="false">IF(Species!$G4&lt;=Species!$H4,IF(AND(2&gt;=Species!$G4,2&lt;=Species!$H4),"H",""),IF(OR(2&gt;=Species!$G4,2&lt;=Species!$H4),"H",""))&amp;IF(Species!$I4=2,"S","")</f>
        <v/>
      </c>
      <c r="E4" s="153" t="str">
        <f aca="false">IF(Species!$G4&lt;=Species!$H4,IF(AND(3&gt;=Species!$G4,3&lt;=Species!$H4),"H",""),IF(OR(3&gt;=Species!$G4,3&lt;=Species!$H4),"H",""))&amp;IF(Species!$I4=3,"S","")</f>
        <v>H</v>
      </c>
      <c r="F4" s="153" t="str">
        <f aca="false">IF(Species!$G4&lt;=Species!$H4,IF(AND(4&gt;=Species!$G4,4&lt;=Species!$H4),"H",""),IF(OR(4&gt;=Species!$G4,4&lt;=Species!$H4),"H",""))&amp;IF(Species!$I4=4,"S","")</f>
        <v>H</v>
      </c>
      <c r="G4" s="153" t="str">
        <f aca="false">IF(Species!$G4&lt;=Species!$H4,IF(AND(5&gt;=Species!$G4,5&lt;=Species!$H4),"H",""),IF(OR(5&gt;=Species!$G4,5&lt;=Species!$H4),"H",""))&amp;IF(Species!$I4=5,"S","")</f>
        <v>HS</v>
      </c>
      <c r="H4" s="153" t="str">
        <f aca="false">IF(Species!$G4&lt;=Species!$H4,IF(AND(6&gt;=Species!$G4,6&lt;=Species!$H4),"H",""),IF(OR(6&gt;=Species!$G4,6&lt;=Species!$H4),"H",""))&amp;IF(Species!$I4=6,"S","")</f>
        <v/>
      </c>
      <c r="I4" s="153" t="str">
        <f aca="false">IF(Species!$G4&lt;=Species!$H4,IF(AND(7&gt;=Species!$G4,7&lt;=Species!$H4),"H",""),IF(OR(7&gt;=Species!$G4,7&lt;=Species!$H4),"H",""))&amp;IF(Species!$I4=7,"S","")</f>
        <v/>
      </c>
      <c r="J4" s="153" t="str">
        <f aca="false">IF(Species!$G4&lt;=Species!$H4,IF(AND(8&gt;=Species!$G4,8&lt;=Species!$H4),"H",""),IF(OR(8&gt;=Species!$G4,8&lt;=Species!$H4),"H",""))&amp;IF(Species!$I4=8,"S","")</f>
        <v/>
      </c>
      <c r="K4" s="153" t="str">
        <f aca="false">IF(Species!$G4&lt;=Species!$H4,IF(AND(9&gt;=Species!$G4,9&lt;=Species!$H4),"H",""),IF(OR(9&gt;=Species!$G4,9&lt;=Species!$H4),"H",""))&amp;IF(Species!$I4=9,"S","")</f>
        <v/>
      </c>
      <c r="L4" s="153" t="str">
        <f aca="false">IF(Species!$G4&lt;=Species!$H4,IF(AND(10&gt;=Species!$G4,10&lt;=Species!$H4),"H",""),IF(OR(10&gt;=Species!$G4,10&lt;=Species!$H4),"H",""))&amp;IF(Species!$I4=10,"S","")</f>
        <v/>
      </c>
      <c r="M4" s="153" t="str">
        <f aca="false">IF(Species!$G4&lt;=Species!$H4,IF(AND(11&gt;=Species!$G4,11&lt;=Species!$H4),"H",""),IF(OR(11&gt;=Species!$G4,11&lt;=Species!$H4),"H",""))&amp;IF(Species!$I4=11,"S","")</f>
        <v/>
      </c>
      <c r="N4" s="153" t="str">
        <f aca="false">IF(Species!$G4&lt;=Species!$H4,IF(AND(12&gt;=Species!$G4,12&lt;=Species!$H4),"H",""),IF(OR(12&gt;=Species!$G4,12&lt;=Species!$H4),"H",""))&amp;IF(Species!$I4=12,"S","")</f>
        <v/>
      </c>
    </row>
    <row r="5" customFormat="false" ht="15" hidden="false" customHeight="false" outlineLevel="0" collapsed="false">
      <c r="A5" s="6" t="str">
        <f aca="false">Species!B5</f>
        <v>Henbit</v>
      </c>
      <c r="B5" s="6" t="str">
        <f aca="false">Species!F5</f>
        <v>Whole</v>
      </c>
      <c r="C5" s="153" t="str">
        <f aca="false">IF(Species!$G5&lt;=Species!$H5,IF(AND(1&gt;=Species!$G5,1&lt;=Species!$H5),"H",""),IF(OR(1&gt;=Species!$G5,1&lt;=Species!$H5),"H",""))&amp;IF(Species!$I5=1,"S","")</f>
        <v/>
      </c>
      <c r="D5" s="153" t="str">
        <f aca="false">IF(Species!$G5&lt;=Species!$H5,IF(AND(2&gt;=Species!$G5,2&lt;=Species!$H5),"H",""),IF(OR(2&gt;=Species!$G5,2&lt;=Species!$H5),"H",""))&amp;IF(Species!$I5=2,"S","")</f>
        <v/>
      </c>
      <c r="E5" s="153" t="str">
        <f aca="false">IF(Species!$G5&lt;=Species!$H5,IF(AND(3&gt;=Species!$G5,3&lt;=Species!$H5),"H",""),IF(OR(3&gt;=Species!$G5,3&lt;=Species!$H5),"H",""))&amp;IF(Species!$I5=3,"S","")</f>
        <v>H</v>
      </c>
      <c r="F5" s="153" t="str">
        <f aca="false">IF(Species!$G5&lt;=Species!$H5,IF(AND(4&gt;=Species!$G5,4&lt;=Species!$H5),"H",""),IF(OR(4&gt;=Species!$G5,4&lt;=Species!$H5),"H",""))&amp;IF(Species!$I5=4,"S","")</f>
        <v>H</v>
      </c>
      <c r="G5" s="153" t="str">
        <f aca="false">IF(Species!$G5&lt;=Species!$H5,IF(AND(5&gt;=Species!$G5,5&lt;=Species!$H5),"H",""),IF(OR(5&gt;=Species!$G5,5&lt;=Species!$H5),"H",""))&amp;IF(Species!$I5=5,"S","")</f>
        <v>HS</v>
      </c>
      <c r="H5" s="153" t="str">
        <f aca="false">IF(Species!$G5&lt;=Species!$H5,IF(AND(6&gt;=Species!$G5,6&lt;=Species!$H5),"H",""),IF(OR(6&gt;=Species!$G5,6&lt;=Species!$H5),"H",""))&amp;IF(Species!$I5=6,"S","")</f>
        <v/>
      </c>
      <c r="I5" s="153" t="str">
        <f aca="false">IF(Species!$G5&lt;=Species!$H5,IF(AND(7&gt;=Species!$G5,7&lt;=Species!$H5),"H",""),IF(OR(7&gt;=Species!$G5,7&lt;=Species!$H5),"H",""))&amp;IF(Species!$I5=7,"S","")</f>
        <v/>
      </c>
      <c r="J5" s="153" t="str">
        <f aca="false">IF(Species!$G5&lt;=Species!$H5,IF(AND(8&gt;=Species!$G5,8&lt;=Species!$H5),"H",""),IF(OR(8&gt;=Species!$G5,8&lt;=Species!$H5),"H",""))&amp;IF(Species!$I5=8,"S","")</f>
        <v/>
      </c>
      <c r="K5" s="153" t="str">
        <f aca="false">IF(Species!$G5&lt;=Species!$H5,IF(AND(9&gt;=Species!$G5,9&lt;=Species!$H5),"H",""),IF(OR(9&gt;=Species!$G5,9&lt;=Species!$H5),"H",""))&amp;IF(Species!$I5=9,"S","")</f>
        <v/>
      </c>
      <c r="L5" s="153" t="str">
        <f aca="false">IF(Species!$G5&lt;=Species!$H5,IF(AND(10&gt;=Species!$G5,10&lt;=Species!$H5),"H",""),IF(OR(10&gt;=Species!$G5,10&lt;=Species!$H5),"H",""))&amp;IF(Species!$I5=10,"S","")</f>
        <v/>
      </c>
      <c r="M5" s="153" t="str">
        <f aca="false">IF(Species!$G5&lt;=Species!$H5,IF(AND(11&gt;=Species!$G5,11&lt;=Species!$H5),"H",""),IF(OR(11&gt;=Species!$G5,11&lt;=Species!$H5),"H",""))&amp;IF(Species!$I5=11,"S","")</f>
        <v/>
      </c>
      <c r="N5" s="153" t="str">
        <f aca="false">IF(Species!$G5&lt;=Species!$H5,IF(AND(12&gt;=Species!$G5,12&lt;=Species!$H5),"H",""),IF(OR(12&gt;=Species!$G5,12&lt;=Species!$H5),"H",""))&amp;IF(Species!$I5=12,"S","")</f>
        <v/>
      </c>
    </row>
    <row r="6" customFormat="false" ht="15" hidden="false" customHeight="false" outlineLevel="0" collapsed="false">
      <c r="A6" s="6" t="str">
        <f aca="false">Species!B6</f>
        <v>Dandelion</v>
      </c>
      <c r="B6" s="6" t="str">
        <f aca="false">Species!F6</f>
        <v>Root</v>
      </c>
      <c r="C6" s="153" t="str">
        <f aca="false">IF(Species!$G6&lt;=Species!$H6,IF(AND(1&gt;=Species!$G6,1&lt;=Species!$H6),"H",""),IF(OR(1&gt;=Species!$G6,1&lt;=Species!$H6),"H",""))&amp;IF(Species!$I6=1,"S","")</f>
        <v/>
      </c>
      <c r="D6" s="153" t="str">
        <f aca="false">IF(Species!$G6&lt;=Species!$H6,IF(AND(2&gt;=Species!$G6,2&lt;=Species!$H6),"H",""),IF(OR(2&gt;=Species!$G6,2&lt;=Species!$H6),"H",""))&amp;IF(Species!$I6=2,"S","")</f>
        <v/>
      </c>
      <c r="E6" s="153" t="str">
        <f aca="false">IF(Species!$G6&lt;=Species!$H6,IF(AND(3&gt;=Species!$G6,3&lt;=Species!$H6),"H",""),IF(OR(3&gt;=Species!$G6,3&lt;=Species!$H6),"H",""))&amp;IF(Species!$I6=3,"S","")</f>
        <v>H</v>
      </c>
      <c r="F6" s="153" t="str">
        <f aca="false">IF(Species!$G6&lt;=Species!$H6,IF(AND(4&gt;=Species!$G6,4&lt;=Species!$H6),"H",""),IF(OR(4&gt;=Species!$G6,4&lt;=Species!$H6),"H",""))&amp;IF(Species!$I6=4,"S","")</f>
        <v>H</v>
      </c>
      <c r="G6" s="153" t="str">
        <f aca="false">IF(Species!$G6&lt;=Species!$H6,IF(AND(5&gt;=Species!$G6,5&lt;=Species!$H6),"H",""),IF(OR(5&gt;=Species!$G6,5&lt;=Species!$H6),"H",""))&amp;IF(Species!$I6=5,"S","")</f>
        <v>HS</v>
      </c>
      <c r="H6" s="153" t="str">
        <f aca="false">IF(Species!$G6&lt;=Species!$H6,IF(AND(6&gt;=Species!$G6,6&lt;=Species!$H6),"H",""),IF(OR(6&gt;=Species!$G6,6&lt;=Species!$H6),"H",""))&amp;IF(Species!$I6=6,"S","")</f>
        <v>H</v>
      </c>
      <c r="I6" s="153" t="str">
        <f aca="false">IF(Species!$G6&lt;=Species!$H6,IF(AND(7&gt;=Species!$G6,7&lt;=Species!$H6),"H",""),IF(OR(7&gt;=Species!$G6,7&lt;=Species!$H6),"H",""))&amp;IF(Species!$I6=7,"S","")</f>
        <v>H</v>
      </c>
      <c r="J6" s="153" t="str">
        <f aca="false">IF(Species!$G6&lt;=Species!$H6,IF(AND(8&gt;=Species!$G6,8&lt;=Species!$H6),"H",""),IF(OR(8&gt;=Species!$G6,8&lt;=Species!$H6),"H",""))&amp;IF(Species!$I6=8,"S","")</f>
        <v>H</v>
      </c>
      <c r="K6" s="153" t="str">
        <f aca="false">IF(Species!$G6&lt;=Species!$H6,IF(AND(9&gt;=Species!$G6,9&lt;=Species!$H6),"H",""),IF(OR(9&gt;=Species!$G6,9&lt;=Species!$H6),"H",""))&amp;IF(Species!$I6=9,"S","")</f>
        <v>H</v>
      </c>
      <c r="L6" s="153" t="str">
        <f aca="false">IF(Species!$G6&lt;=Species!$H6,IF(AND(10&gt;=Species!$G6,10&lt;=Species!$H6),"H",""),IF(OR(10&gt;=Species!$G6,10&lt;=Species!$H6),"H",""))&amp;IF(Species!$I6=10,"S","")</f>
        <v>H</v>
      </c>
      <c r="M6" s="153" t="str">
        <f aca="false">IF(Species!$G6&lt;=Species!$H6,IF(AND(11&gt;=Species!$G6,11&lt;=Species!$H6),"H",""),IF(OR(11&gt;=Species!$G6,11&lt;=Species!$H6),"H",""))&amp;IF(Species!$I6=11,"S","")</f>
        <v>H</v>
      </c>
      <c r="N6" s="153" t="str">
        <f aca="false">IF(Species!$G6&lt;=Species!$H6,IF(AND(12&gt;=Species!$G6,12&lt;=Species!$H6),"H",""),IF(OR(12&gt;=Species!$G6,12&lt;=Species!$H6),"H",""))&amp;IF(Species!$I6=12,"S","")</f>
        <v/>
      </c>
    </row>
    <row r="7" customFormat="false" ht="15" hidden="false" customHeight="false" outlineLevel="0" collapsed="false">
      <c r="A7" s="6" t="str">
        <f aca="false">Species!B7</f>
        <v>Common Blue Violet</v>
      </c>
      <c r="B7" s="6" t="str">
        <f aca="false">Species!F7</f>
        <v>Leaf</v>
      </c>
      <c r="C7" s="153" t="str">
        <f aca="false">IF(Species!$G7&lt;=Species!$H7,IF(AND(1&gt;=Species!$G7,1&lt;=Species!$H7),"H",""),IF(OR(1&gt;=Species!$G7,1&lt;=Species!$H7),"H",""))&amp;IF(Species!$I7=1,"S","")</f>
        <v/>
      </c>
      <c r="D7" s="153" t="str">
        <f aca="false">IF(Species!$G7&lt;=Species!$H7,IF(AND(2&gt;=Species!$G7,2&lt;=Species!$H7),"H",""),IF(OR(2&gt;=Species!$G7,2&lt;=Species!$H7),"H",""))&amp;IF(Species!$I7=2,"S","")</f>
        <v/>
      </c>
      <c r="E7" s="153" t="str">
        <f aca="false">IF(Species!$G7&lt;=Species!$H7,IF(AND(3&gt;=Species!$G7,3&lt;=Species!$H7),"H",""),IF(OR(3&gt;=Species!$G7,3&lt;=Species!$H7),"H",""))&amp;IF(Species!$I7=3,"S","")</f>
        <v>H</v>
      </c>
      <c r="F7" s="153" t="str">
        <f aca="false">IF(Species!$G7&lt;=Species!$H7,IF(AND(4&gt;=Species!$G7,4&lt;=Species!$H7),"H",""),IF(OR(4&gt;=Species!$G7,4&lt;=Species!$H7),"H",""))&amp;IF(Species!$I7=4,"S","")</f>
        <v>H</v>
      </c>
      <c r="G7" s="153" t="str">
        <f aca="false">IF(Species!$G7&lt;=Species!$H7,IF(AND(5&gt;=Species!$G7,5&lt;=Species!$H7),"H",""),IF(OR(5&gt;=Species!$G7,5&lt;=Species!$H7),"H",""))&amp;IF(Species!$I7=5,"S","")</f>
        <v>H</v>
      </c>
      <c r="H7" s="153" t="str">
        <f aca="false">IF(Species!$G7&lt;=Species!$H7,IF(AND(6&gt;=Species!$G7,6&lt;=Species!$H7),"H",""),IF(OR(6&gt;=Species!$G7,6&lt;=Species!$H7),"H",""))&amp;IF(Species!$I7=6,"S","")</f>
        <v>HS</v>
      </c>
      <c r="I7" s="153" t="str">
        <f aca="false">IF(Species!$G7&lt;=Species!$H7,IF(AND(7&gt;=Species!$G7,7&lt;=Species!$H7),"H",""),IF(OR(7&gt;=Species!$G7,7&lt;=Species!$H7),"H",""))&amp;IF(Species!$I7=7,"S","")</f>
        <v/>
      </c>
      <c r="J7" s="153" t="str">
        <f aca="false">IF(Species!$G7&lt;=Species!$H7,IF(AND(8&gt;=Species!$G7,8&lt;=Species!$H7),"H",""),IF(OR(8&gt;=Species!$G7,8&lt;=Species!$H7),"H",""))&amp;IF(Species!$I7=8,"S","")</f>
        <v/>
      </c>
      <c r="K7" s="153" t="str">
        <f aca="false">IF(Species!$G7&lt;=Species!$H7,IF(AND(9&gt;=Species!$G7,9&lt;=Species!$H7),"H",""),IF(OR(9&gt;=Species!$G7,9&lt;=Species!$H7),"H",""))&amp;IF(Species!$I7=9,"S","")</f>
        <v/>
      </c>
      <c r="L7" s="153" t="str">
        <f aca="false">IF(Species!$G7&lt;=Species!$H7,IF(AND(10&gt;=Species!$G7,10&lt;=Species!$H7),"H",""),IF(OR(10&gt;=Species!$G7,10&lt;=Species!$H7),"H",""))&amp;IF(Species!$I7=10,"S","")</f>
        <v/>
      </c>
      <c r="M7" s="153" t="str">
        <f aca="false">IF(Species!$G7&lt;=Species!$H7,IF(AND(11&gt;=Species!$G7,11&lt;=Species!$H7),"H",""),IF(OR(11&gt;=Species!$G7,11&lt;=Species!$H7),"H",""))&amp;IF(Species!$I7=11,"S","")</f>
        <v/>
      </c>
      <c r="N7" s="153" t="str">
        <f aca="false">IF(Species!$G7&lt;=Species!$H7,IF(AND(12&gt;=Species!$G7,12&lt;=Species!$H7),"H",""),IF(OR(12&gt;=Species!$G7,12&lt;=Species!$H7),"H",""))&amp;IF(Species!$I7=12,"S","")</f>
        <v/>
      </c>
    </row>
    <row r="8" customFormat="false" ht="15" hidden="false" customHeight="false" outlineLevel="0" collapsed="false">
      <c r="A8" s="6" t="str">
        <f aca="false">Species!B8</f>
        <v>Cleavers</v>
      </c>
      <c r="B8" s="6" t="str">
        <f aca="false">Species!F8</f>
        <v>Whole</v>
      </c>
      <c r="C8" s="153" t="str">
        <f aca="false">IF(Species!$G8&lt;=Species!$H8,IF(AND(1&gt;=Species!$G8,1&lt;=Species!$H8),"H",""),IF(OR(1&gt;=Species!$G8,1&lt;=Species!$H8),"H",""))&amp;IF(Species!$I8=1,"S","")</f>
        <v/>
      </c>
      <c r="D8" s="153" t="str">
        <f aca="false">IF(Species!$G8&lt;=Species!$H8,IF(AND(2&gt;=Species!$G8,2&lt;=Species!$H8),"H",""),IF(OR(2&gt;=Species!$G8,2&lt;=Species!$H8),"H",""))&amp;IF(Species!$I8=2,"S","")</f>
        <v/>
      </c>
      <c r="E8" s="153" t="str">
        <f aca="false">IF(Species!$G8&lt;=Species!$H8,IF(AND(3&gt;=Species!$G8,3&lt;=Species!$H8),"H",""),IF(OR(3&gt;=Species!$G8,3&lt;=Species!$H8),"H",""))&amp;IF(Species!$I8=3,"S","")</f>
        <v/>
      </c>
      <c r="F8" s="153" t="str">
        <f aca="false">IF(Species!$G8&lt;=Species!$H8,IF(AND(4&gt;=Species!$G8,4&lt;=Species!$H8),"H",""),IF(OR(4&gt;=Species!$G8,4&lt;=Species!$H8),"H",""))&amp;IF(Species!$I8=4,"S","")</f>
        <v>H</v>
      </c>
      <c r="G8" s="153" t="str">
        <f aca="false">IF(Species!$G8&lt;=Species!$H8,IF(AND(5&gt;=Species!$G8,5&lt;=Species!$H8),"H",""),IF(OR(5&gt;=Species!$G8,5&lt;=Species!$H8),"H",""))&amp;IF(Species!$I8=5,"S","")</f>
        <v>H</v>
      </c>
      <c r="H8" s="153" t="str">
        <f aca="false">IF(Species!$G8&lt;=Species!$H8,IF(AND(6&gt;=Species!$G8,6&lt;=Species!$H8),"H",""),IF(OR(6&gt;=Species!$G8,6&lt;=Species!$H8),"H",""))&amp;IF(Species!$I8=6,"S","")</f>
        <v>HS</v>
      </c>
      <c r="I8" s="153" t="str">
        <f aca="false">IF(Species!$G8&lt;=Species!$H8,IF(AND(7&gt;=Species!$G8,7&lt;=Species!$H8),"H",""),IF(OR(7&gt;=Species!$G8,7&lt;=Species!$H8),"H",""))&amp;IF(Species!$I8=7,"S","")</f>
        <v/>
      </c>
      <c r="J8" s="153" t="str">
        <f aca="false">IF(Species!$G8&lt;=Species!$H8,IF(AND(8&gt;=Species!$G8,8&lt;=Species!$H8),"H",""),IF(OR(8&gt;=Species!$G8,8&lt;=Species!$H8),"H",""))&amp;IF(Species!$I8=8,"S","")</f>
        <v/>
      </c>
      <c r="K8" s="153" t="str">
        <f aca="false">IF(Species!$G8&lt;=Species!$H8,IF(AND(9&gt;=Species!$G8,9&lt;=Species!$H8),"H",""),IF(OR(9&gt;=Species!$G8,9&lt;=Species!$H8),"H",""))&amp;IF(Species!$I8=9,"S","")</f>
        <v/>
      </c>
      <c r="L8" s="153" t="str">
        <f aca="false">IF(Species!$G8&lt;=Species!$H8,IF(AND(10&gt;=Species!$G8,10&lt;=Species!$H8),"H",""),IF(OR(10&gt;=Species!$G8,10&lt;=Species!$H8),"H",""))&amp;IF(Species!$I8=10,"S","")</f>
        <v/>
      </c>
      <c r="M8" s="153" t="str">
        <f aca="false">IF(Species!$G8&lt;=Species!$H8,IF(AND(11&gt;=Species!$G8,11&lt;=Species!$H8),"H",""),IF(OR(11&gt;=Species!$G8,11&lt;=Species!$H8),"H",""))&amp;IF(Species!$I8=11,"S","")</f>
        <v/>
      </c>
      <c r="N8" s="153" t="str">
        <f aca="false">IF(Species!$G8&lt;=Species!$H8,IF(AND(12&gt;=Species!$G8,12&lt;=Species!$H8),"H",""),IF(OR(12&gt;=Species!$G8,12&lt;=Species!$H8),"H",""))&amp;IF(Species!$I8=12,"S","")</f>
        <v/>
      </c>
    </row>
    <row r="9" customFormat="false" ht="15" hidden="false" customHeight="false" outlineLevel="0" collapsed="false">
      <c r="A9" s="6" t="str">
        <f aca="false">Species!B9</f>
        <v>Wood Sorrel</v>
      </c>
      <c r="B9" s="6" t="str">
        <f aca="false">Species!F9</f>
        <v>Leaf</v>
      </c>
      <c r="C9" s="153" t="str">
        <f aca="false">IF(Species!$G9&lt;=Species!$H9,IF(AND(1&gt;=Species!$G9,1&lt;=Species!$H9),"H",""),IF(OR(1&gt;=Species!$G9,1&lt;=Species!$H9),"H",""))&amp;IF(Species!$I9=1,"S","")</f>
        <v/>
      </c>
      <c r="D9" s="153" t="str">
        <f aca="false">IF(Species!$G9&lt;=Species!$H9,IF(AND(2&gt;=Species!$G9,2&lt;=Species!$H9),"H",""),IF(OR(2&gt;=Species!$G9,2&lt;=Species!$H9),"H",""))&amp;IF(Species!$I9=2,"S","")</f>
        <v/>
      </c>
      <c r="E9" s="153" t="str">
        <f aca="false">IF(Species!$G9&lt;=Species!$H9,IF(AND(3&gt;=Species!$G9,3&lt;=Species!$H9),"H",""),IF(OR(3&gt;=Species!$G9,3&lt;=Species!$H9),"H",""))&amp;IF(Species!$I9=3,"S","")</f>
        <v/>
      </c>
      <c r="F9" s="153" t="str">
        <f aca="false">IF(Species!$G9&lt;=Species!$H9,IF(AND(4&gt;=Species!$G9,4&lt;=Species!$H9),"H",""),IF(OR(4&gt;=Species!$G9,4&lt;=Species!$H9),"H",""))&amp;IF(Species!$I9=4,"S","")</f>
        <v/>
      </c>
      <c r="G9" s="153" t="str">
        <f aca="false">IF(Species!$G9&lt;=Species!$H9,IF(AND(5&gt;=Species!$G9,5&lt;=Species!$H9),"H",""),IF(OR(5&gt;=Species!$G9,5&lt;=Species!$H9),"H",""))&amp;IF(Species!$I9=5,"S","")</f>
        <v>H</v>
      </c>
      <c r="H9" s="153" t="str">
        <f aca="false">IF(Species!$G9&lt;=Species!$H9,IF(AND(6&gt;=Species!$G9,6&lt;=Species!$H9),"H",""),IF(OR(6&gt;=Species!$G9,6&lt;=Species!$H9),"H",""))&amp;IF(Species!$I9=6,"S","")</f>
        <v>H</v>
      </c>
      <c r="I9" s="153" t="str">
        <f aca="false">IF(Species!$G9&lt;=Species!$H9,IF(AND(7&gt;=Species!$G9,7&lt;=Species!$H9),"H",""),IF(OR(7&gt;=Species!$G9,7&lt;=Species!$H9),"H",""))&amp;IF(Species!$I9=7,"S","")</f>
        <v>HS</v>
      </c>
      <c r="J9" s="153" t="str">
        <f aca="false">IF(Species!$G9&lt;=Species!$H9,IF(AND(8&gt;=Species!$G9,8&lt;=Species!$H9),"H",""),IF(OR(8&gt;=Species!$G9,8&lt;=Species!$H9),"H",""))&amp;IF(Species!$I9=8,"S","")</f>
        <v>H</v>
      </c>
      <c r="K9" s="153" t="str">
        <f aca="false">IF(Species!$G9&lt;=Species!$H9,IF(AND(9&gt;=Species!$G9,9&lt;=Species!$H9),"H",""),IF(OR(9&gt;=Species!$G9,9&lt;=Species!$H9),"H",""))&amp;IF(Species!$I9=9,"S","")</f>
        <v>H</v>
      </c>
      <c r="L9" s="153" t="str">
        <f aca="false">IF(Species!$G9&lt;=Species!$H9,IF(AND(10&gt;=Species!$G9,10&lt;=Species!$H9),"H",""),IF(OR(10&gt;=Species!$G9,10&lt;=Species!$H9),"H",""))&amp;IF(Species!$I9=10,"S","")</f>
        <v>H</v>
      </c>
      <c r="M9" s="153" t="str">
        <f aca="false">IF(Species!$G9&lt;=Species!$H9,IF(AND(11&gt;=Species!$G9,11&lt;=Species!$H9),"H",""),IF(OR(11&gt;=Species!$G9,11&lt;=Species!$H9),"H",""))&amp;IF(Species!$I9=11,"S","")</f>
        <v/>
      </c>
      <c r="N9" s="153" t="str">
        <f aca="false">IF(Species!$G9&lt;=Species!$H9,IF(AND(12&gt;=Species!$G9,12&lt;=Species!$H9),"H",""),IF(OR(12&gt;=Species!$G9,12&lt;=Species!$H9),"H",""))&amp;IF(Species!$I9=12,"S","")</f>
        <v/>
      </c>
    </row>
    <row r="10" customFormat="false" ht="15" hidden="false" customHeight="false" outlineLevel="0" collapsed="false">
      <c r="A10" s="6" t="str">
        <f aca="false">Species!B10</f>
        <v>Sheep Sorrel</v>
      </c>
      <c r="B10" s="6" t="str">
        <f aca="false">Species!F10</f>
        <v>Leaf</v>
      </c>
      <c r="C10" s="153" t="str">
        <f aca="false">IF(Species!$G10&lt;=Species!$H10,IF(AND(1&gt;=Species!$G10,1&lt;=Species!$H10),"H",""),IF(OR(1&gt;=Species!$G10,1&lt;=Species!$H10),"H",""))&amp;IF(Species!$I10=1,"S","")</f>
        <v/>
      </c>
      <c r="D10" s="153" t="str">
        <f aca="false">IF(Species!$G10&lt;=Species!$H10,IF(AND(2&gt;=Species!$G10,2&lt;=Species!$H10),"H",""),IF(OR(2&gt;=Species!$G10,2&lt;=Species!$H10),"H",""))&amp;IF(Species!$I10=2,"S","")</f>
        <v/>
      </c>
      <c r="E10" s="153" t="str">
        <f aca="false">IF(Species!$G10&lt;=Species!$H10,IF(AND(3&gt;=Species!$G10,3&lt;=Species!$H10),"H",""),IF(OR(3&gt;=Species!$G10,3&lt;=Species!$H10),"H",""))&amp;IF(Species!$I10=3,"S","")</f>
        <v/>
      </c>
      <c r="F10" s="153" t="str">
        <f aca="false">IF(Species!$G10&lt;=Species!$H10,IF(AND(4&gt;=Species!$G10,4&lt;=Species!$H10),"H",""),IF(OR(4&gt;=Species!$G10,4&lt;=Species!$H10),"H",""))&amp;IF(Species!$I10=4,"S","")</f>
        <v>H</v>
      </c>
      <c r="G10" s="153" t="str">
        <f aca="false">IF(Species!$G10&lt;=Species!$H10,IF(AND(5&gt;=Species!$G10,5&lt;=Species!$H10),"H",""),IF(OR(5&gt;=Species!$G10,5&lt;=Species!$H10),"H",""))&amp;IF(Species!$I10=5,"S","")</f>
        <v>H</v>
      </c>
      <c r="H10" s="153" t="str">
        <f aca="false">IF(Species!$G10&lt;=Species!$H10,IF(AND(6&gt;=Species!$G10,6&lt;=Species!$H10),"H",""),IF(OR(6&gt;=Species!$G10,6&lt;=Species!$H10),"H",""))&amp;IF(Species!$I10=6,"S","")</f>
        <v>H</v>
      </c>
      <c r="I10" s="153" t="str">
        <f aca="false">IF(Species!$G10&lt;=Species!$H10,IF(AND(7&gt;=Species!$G10,7&lt;=Species!$H10),"H",""),IF(OR(7&gt;=Species!$G10,7&lt;=Species!$H10),"H",""))&amp;IF(Species!$I10=7,"S","")</f>
        <v>HS</v>
      </c>
      <c r="J10" s="153" t="str">
        <f aca="false">IF(Species!$G10&lt;=Species!$H10,IF(AND(8&gt;=Species!$G10,8&lt;=Species!$H10),"H",""),IF(OR(8&gt;=Species!$G10,8&lt;=Species!$H10),"H",""))&amp;IF(Species!$I10=8,"S","")</f>
        <v/>
      </c>
      <c r="K10" s="153" t="str">
        <f aca="false">IF(Species!$G10&lt;=Species!$H10,IF(AND(9&gt;=Species!$G10,9&lt;=Species!$H10),"H",""),IF(OR(9&gt;=Species!$G10,9&lt;=Species!$H10),"H",""))&amp;IF(Species!$I10=9,"S","")</f>
        <v/>
      </c>
      <c r="L10" s="153" t="str">
        <f aca="false">IF(Species!$G10&lt;=Species!$H10,IF(AND(10&gt;=Species!$G10,10&lt;=Species!$H10),"H",""),IF(OR(10&gt;=Species!$G10,10&lt;=Species!$H10),"H",""))&amp;IF(Species!$I10=10,"S","")</f>
        <v/>
      </c>
      <c r="M10" s="153" t="str">
        <f aca="false">IF(Species!$G10&lt;=Species!$H10,IF(AND(11&gt;=Species!$G10,11&lt;=Species!$H10),"H",""),IF(OR(11&gt;=Species!$G10,11&lt;=Species!$H10),"H",""))&amp;IF(Species!$I10=11,"S","")</f>
        <v/>
      </c>
      <c r="N10" s="153" t="str">
        <f aca="false">IF(Species!$G10&lt;=Species!$H10,IF(AND(12&gt;=Species!$G10,12&lt;=Species!$H10),"H",""),IF(OR(12&gt;=Species!$G10,12&lt;=Species!$H10),"H",""))&amp;IF(Species!$I10=12,"S","")</f>
        <v/>
      </c>
    </row>
    <row r="11" customFormat="false" ht="15" hidden="false" customHeight="false" outlineLevel="0" collapsed="false">
      <c r="A11" s="6" t="str">
        <f aca="false">Species!B11</f>
        <v>Curly Dock</v>
      </c>
      <c r="B11" s="6" t="str">
        <f aca="false">Species!F11</f>
        <v>Root</v>
      </c>
      <c r="C11" s="153" t="str">
        <f aca="false">IF(Species!$G11&lt;=Species!$H11,IF(AND(1&gt;=Species!$G11,1&lt;=Species!$H11),"H",""),IF(OR(1&gt;=Species!$G11,1&lt;=Species!$H11),"H",""))&amp;IF(Species!$I11=1,"S","")</f>
        <v/>
      </c>
      <c r="D11" s="153" t="str">
        <f aca="false">IF(Species!$G11&lt;=Species!$H11,IF(AND(2&gt;=Species!$G11,2&lt;=Species!$H11),"H",""),IF(OR(2&gt;=Species!$G11,2&lt;=Species!$H11),"H",""))&amp;IF(Species!$I11=2,"S","")</f>
        <v/>
      </c>
      <c r="E11" s="153" t="str">
        <f aca="false">IF(Species!$G11&lt;=Species!$H11,IF(AND(3&gt;=Species!$G11,3&lt;=Species!$H11),"H",""),IF(OR(3&gt;=Species!$G11,3&lt;=Species!$H11),"H",""))&amp;IF(Species!$I11=3,"S","")</f>
        <v/>
      </c>
      <c r="F11" s="153" t="str">
        <f aca="false">IF(Species!$G11&lt;=Species!$H11,IF(AND(4&gt;=Species!$G11,4&lt;=Species!$H11),"H",""),IF(OR(4&gt;=Species!$G11,4&lt;=Species!$H11),"H",""))&amp;IF(Species!$I11=4,"S","")</f>
        <v/>
      </c>
      <c r="G11" s="153" t="str">
        <f aca="false">IF(Species!$G11&lt;=Species!$H11,IF(AND(5&gt;=Species!$G11,5&lt;=Species!$H11),"H",""),IF(OR(5&gt;=Species!$G11,5&lt;=Species!$H11),"H",""))&amp;IF(Species!$I11=5,"S","")</f>
        <v/>
      </c>
      <c r="H11" s="153" t="str">
        <f aca="false">IF(Species!$G11&lt;=Species!$H11,IF(AND(6&gt;=Species!$G11,6&lt;=Species!$H11),"H",""),IF(OR(6&gt;=Species!$G11,6&lt;=Species!$H11),"H",""))&amp;IF(Species!$I11=6,"S","")</f>
        <v/>
      </c>
      <c r="I11" s="153" t="str">
        <f aca="false">IF(Species!$G11&lt;=Species!$H11,IF(AND(7&gt;=Species!$G11,7&lt;=Species!$H11),"H",""),IF(OR(7&gt;=Species!$G11,7&lt;=Species!$H11),"H",""))&amp;IF(Species!$I11=7,"S","")</f>
        <v/>
      </c>
      <c r="J11" s="153" t="str">
        <f aca="false">IF(Species!$G11&lt;=Species!$H11,IF(AND(8&gt;=Species!$G11,8&lt;=Species!$H11),"H",""),IF(OR(8&gt;=Species!$G11,8&lt;=Species!$H11),"H",""))&amp;IF(Species!$I11=8,"S","")</f>
        <v>S</v>
      </c>
      <c r="K11" s="153" t="str">
        <f aca="false">IF(Species!$G11&lt;=Species!$H11,IF(AND(9&gt;=Species!$G11,9&lt;=Species!$H11),"H",""),IF(OR(9&gt;=Species!$G11,9&lt;=Species!$H11),"H",""))&amp;IF(Species!$I11=9,"S","")</f>
        <v>H</v>
      </c>
      <c r="L11" s="153" t="str">
        <f aca="false">IF(Species!$G11&lt;=Species!$H11,IF(AND(10&gt;=Species!$G11,10&lt;=Species!$H11),"H",""),IF(OR(10&gt;=Species!$G11,10&lt;=Species!$H11),"H",""))&amp;IF(Species!$I11=10,"S","")</f>
        <v>H</v>
      </c>
      <c r="M11" s="153" t="str">
        <f aca="false">IF(Species!$G11&lt;=Species!$H11,IF(AND(11&gt;=Species!$G11,11&lt;=Species!$H11),"H",""),IF(OR(11&gt;=Species!$G11,11&lt;=Species!$H11),"H",""))&amp;IF(Species!$I11=11,"S","")</f>
        <v>H</v>
      </c>
      <c r="N11" s="153" t="str">
        <f aca="false">IF(Species!$G11&lt;=Species!$H11,IF(AND(12&gt;=Species!$G11,12&lt;=Species!$H11),"H",""),IF(OR(12&gt;=Species!$G11,12&lt;=Species!$H11),"H",""))&amp;IF(Species!$I11=12,"S","")</f>
        <v/>
      </c>
    </row>
    <row r="12" customFormat="false" ht="15" hidden="false" customHeight="false" outlineLevel="0" collapsed="false">
      <c r="A12" s="6" t="str">
        <f aca="false">Species!B12</f>
        <v>Red Clover</v>
      </c>
      <c r="B12" s="6" t="str">
        <f aca="false">Species!F12</f>
        <v>Flower</v>
      </c>
      <c r="C12" s="153" t="str">
        <f aca="false">IF(Species!$G12&lt;=Species!$H12,IF(AND(1&gt;=Species!$G12,1&lt;=Species!$H12),"H",""),IF(OR(1&gt;=Species!$G12,1&lt;=Species!$H12),"H",""))&amp;IF(Species!$I12=1,"S","")</f>
        <v/>
      </c>
      <c r="D12" s="153" t="str">
        <f aca="false">IF(Species!$G12&lt;=Species!$H12,IF(AND(2&gt;=Species!$G12,2&lt;=Species!$H12),"H",""),IF(OR(2&gt;=Species!$G12,2&lt;=Species!$H12),"H",""))&amp;IF(Species!$I12=2,"S","")</f>
        <v/>
      </c>
      <c r="E12" s="153" t="str">
        <f aca="false">IF(Species!$G12&lt;=Species!$H12,IF(AND(3&gt;=Species!$G12,3&lt;=Species!$H12),"H",""),IF(OR(3&gt;=Species!$G12,3&lt;=Species!$H12),"H",""))&amp;IF(Species!$I12=3,"S","")</f>
        <v/>
      </c>
      <c r="F12" s="153" t="str">
        <f aca="false">IF(Species!$G12&lt;=Species!$H12,IF(AND(4&gt;=Species!$G12,4&lt;=Species!$H12),"H",""),IF(OR(4&gt;=Species!$G12,4&lt;=Species!$H12),"H",""))&amp;IF(Species!$I12=4,"S","")</f>
        <v/>
      </c>
      <c r="G12" s="153" t="str">
        <f aca="false">IF(Species!$G12&lt;=Species!$H12,IF(AND(5&gt;=Species!$G12,5&lt;=Species!$H12),"H",""),IF(OR(5&gt;=Species!$G12,5&lt;=Species!$H12),"H",""))&amp;IF(Species!$I12=5,"S","")</f>
        <v>H</v>
      </c>
      <c r="H12" s="153" t="str">
        <f aca="false">IF(Species!$G12&lt;=Species!$H12,IF(AND(6&gt;=Species!$G12,6&lt;=Species!$H12),"H",""),IF(OR(6&gt;=Species!$G12,6&lt;=Species!$H12),"H",""))&amp;IF(Species!$I12=6,"S","")</f>
        <v>H</v>
      </c>
      <c r="I12" s="153" t="str">
        <f aca="false">IF(Species!$G12&lt;=Species!$H12,IF(AND(7&gt;=Species!$G12,7&lt;=Species!$H12),"H",""),IF(OR(7&gt;=Species!$G12,7&lt;=Species!$H12),"H",""))&amp;IF(Species!$I12=7,"S","")</f>
        <v>H</v>
      </c>
      <c r="J12" s="153" t="str">
        <f aca="false">IF(Species!$G12&lt;=Species!$H12,IF(AND(8&gt;=Species!$G12,8&lt;=Species!$H12),"H",""),IF(OR(8&gt;=Species!$G12,8&lt;=Species!$H12),"H",""))&amp;IF(Species!$I12=8,"S","")</f>
        <v>HS</v>
      </c>
      <c r="K12" s="153" t="str">
        <f aca="false">IF(Species!$G12&lt;=Species!$H12,IF(AND(9&gt;=Species!$G12,9&lt;=Species!$H12),"H",""),IF(OR(9&gt;=Species!$G12,9&lt;=Species!$H12),"H",""))&amp;IF(Species!$I12=9,"S","")</f>
        <v/>
      </c>
      <c r="L12" s="153" t="str">
        <f aca="false">IF(Species!$G12&lt;=Species!$H12,IF(AND(10&gt;=Species!$G12,10&lt;=Species!$H12),"H",""),IF(OR(10&gt;=Species!$G12,10&lt;=Species!$H12),"H",""))&amp;IF(Species!$I12=10,"S","")</f>
        <v/>
      </c>
      <c r="M12" s="153" t="str">
        <f aca="false">IF(Species!$G12&lt;=Species!$H12,IF(AND(11&gt;=Species!$G12,11&lt;=Species!$H12),"H",""),IF(OR(11&gt;=Species!$G12,11&lt;=Species!$H12),"H",""))&amp;IF(Species!$I12=11,"S","")</f>
        <v/>
      </c>
      <c r="N12" s="153" t="str">
        <f aca="false">IF(Species!$G12&lt;=Species!$H12,IF(AND(12&gt;=Species!$G12,12&lt;=Species!$H12),"H",""),IF(OR(12&gt;=Species!$G12,12&lt;=Species!$H12),"H",""))&amp;IF(Species!$I12=12,"S","")</f>
        <v/>
      </c>
    </row>
    <row r="13" customFormat="false" ht="15" hidden="false" customHeight="false" outlineLevel="0" collapsed="false">
      <c r="A13" s="6" t="str">
        <f aca="false">Species!B13</f>
        <v>White Clover</v>
      </c>
      <c r="B13" s="6" t="str">
        <f aca="false">Species!F13</f>
        <v>Flower</v>
      </c>
      <c r="C13" s="153" t="str">
        <f aca="false">IF(Species!$G13&lt;=Species!$H13,IF(AND(1&gt;=Species!$G13,1&lt;=Species!$H13),"H",""),IF(OR(1&gt;=Species!$G13,1&lt;=Species!$H13),"H",""))&amp;IF(Species!$I13=1,"S","")</f>
        <v/>
      </c>
      <c r="D13" s="153" t="str">
        <f aca="false">IF(Species!$G13&lt;=Species!$H13,IF(AND(2&gt;=Species!$G13,2&lt;=Species!$H13),"H",""),IF(OR(2&gt;=Species!$G13,2&lt;=Species!$H13),"H",""))&amp;IF(Species!$I13=2,"S","")</f>
        <v/>
      </c>
      <c r="E13" s="153" t="str">
        <f aca="false">IF(Species!$G13&lt;=Species!$H13,IF(AND(3&gt;=Species!$G13,3&lt;=Species!$H13),"H",""),IF(OR(3&gt;=Species!$G13,3&lt;=Species!$H13),"H",""))&amp;IF(Species!$I13=3,"S","")</f>
        <v/>
      </c>
      <c r="F13" s="153" t="str">
        <f aca="false">IF(Species!$G13&lt;=Species!$H13,IF(AND(4&gt;=Species!$G13,4&lt;=Species!$H13),"H",""),IF(OR(4&gt;=Species!$G13,4&lt;=Species!$H13),"H",""))&amp;IF(Species!$I13=4,"S","")</f>
        <v/>
      </c>
      <c r="G13" s="153" t="str">
        <f aca="false">IF(Species!$G13&lt;=Species!$H13,IF(AND(5&gt;=Species!$G13,5&lt;=Species!$H13),"H",""),IF(OR(5&gt;=Species!$G13,5&lt;=Species!$H13),"H",""))&amp;IF(Species!$I13=5,"S","")</f>
        <v>H</v>
      </c>
      <c r="H13" s="153" t="str">
        <f aca="false">IF(Species!$G13&lt;=Species!$H13,IF(AND(6&gt;=Species!$G13,6&lt;=Species!$H13),"H",""),IF(OR(6&gt;=Species!$G13,6&lt;=Species!$H13),"H",""))&amp;IF(Species!$I13=6,"S","")</f>
        <v>H</v>
      </c>
      <c r="I13" s="153" t="str">
        <f aca="false">IF(Species!$G13&lt;=Species!$H13,IF(AND(7&gt;=Species!$G13,7&lt;=Species!$H13),"H",""),IF(OR(7&gt;=Species!$G13,7&lt;=Species!$H13),"H",""))&amp;IF(Species!$I13=7,"S","")</f>
        <v>H</v>
      </c>
      <c r="J13" s="153" t="str">
        <f aca="false">IF(Species!$G13&lt;=Species!$H13,IF(AND(8&gt;=Species!$G13,8&lt;=Species!$H13),"H",""),IF(OR(8&gt;=Species!$G13,8&lt;=Species!$H13),"H",""))&amp;IF(Species!$I13=8,"S","")</f>
        <v>HS</v>
      </c>
      <c r="K13" s="153" t="str">
        <f aca="false">IF(Species!$G13&lt;=Species!$H13,IF(AND(9&gt;=Species!$G13,9&lt;=Species!$H13),"H",""),IF(OR(9&gt;=Species!$G13,9&lt;=Species!$H13),"H",""))&amp;IF(Species!$I13=9,"S","")</f>
        <v>H</v>
      </c>
      <c r="L13" s="153" t="str">
        <f aca="false">IF(Species!$G13&lt;=Species!$H13,IF(AND(10&gt;=Species!$G13,10&lt;=Species!$H13),"H",""),IF(OR(10&gt;=Species!$G13,10&lt;=Species!$H13),"H",""))&amp;IF(Species!$I13=10,"S","")</f>
        <v/>
      </c>
      <c r="M13" s="153" t="str">
        <f aca="false">IF(Species!$G13&lt;=Species!$H13,IF(AND(11&gt;=Species!$G13,11&lt;=Species!$H13),"H",""),IF(OR(11&gt;=Species!$G13,11&lt;=Species!$H13),"H",""))&amp;IF(Species!$I13=11,"S","")</f>
        <v/>
      </c>
      <c r="N13" s="153" t="str">
        <f aca="false">IF(Species!$G13&lt;=Species!$H13,IF(AND(12&gt;=Species!$G13,12&lt;=Species!$H13),"H",""),IF(OR(12&gt;=Species!$G13,12&lt;=Species!$H13),"H",""))&amp;IF(Species!$I13=12,"S","")</f>
        <v/>
      </c>
    </row>
    <row r="14" customFormat="false" ht="15" hidden="false" customHeight="false" outlineLevel="0" collapsed="false">
      <c r="A14" s="6" t="str">
        <f aca="false">Species!B14</f>
        <v>Wild Strawberry</v>
      </c>
      <c r="B14" s="6" t="str">
        <f aca="false">Species!F14</f>
        <v>Fruit</v>
      </c>
      <c r="C14" s="153" t="str">
        <f aca="false">IF(Species!$G14&lt;=Species!$H14,IF(AND(1&gt;=Species!$G14,1&lt;=Species!$H14),"H",""),IF(OR(1&gt;=Species!$G14,1&lt;=Species!$H14),"H",""))&amp;IF(Species!$I14=1,"S","")</f>
        <v/>
      </c>
      <c r="D14" s="153" t="str">
        <f aca="false">IF(Species!$G14&lt;=Species!$H14,IF(AND(2&gt;=Species!$G14,2&lt;=Species!$H14),"H",""),IF(OR(2&gt;=Species!$G14,2&lt;=Species!$H14),"H",""))&amp;IF(Species!$I14=2,"S","")</f>
        <v/>
      </c>
      <c r="E14" s="153" t="str">
        <f aca="false">IF(Species!$G14&lt;=Species!$H14,IF(AND(3&gt;=Species!$G14,3&lt;=Species!$H14),"H",""),IF(OR(3&gt;=Species!$G14,3&lt;=Species!$H14),"H",""))&amp;IF(Species!$I14=3,"S","")</f>
        <v/>
      </c>
      <c r="F14" s="153" t="str">
        <f aca="false">IF(Species!$G14&lt;=Species!$H14,IF(AND(4&gt;=Species!$G14,4&lt;=Species!$H14),"H",""),IF(OR(4&gt;=Species!$G14,4&lt;=Species!$H14),"H",""))&amp;IF(Species!$I14=4,"S","")</f>
        <v/>
      </c>
      <c r="G14" s="153" t="str">
        <f aca="false">IF(Species!$G14&lt;=Species!$H14,IF(AND(5&gt;=Species!$G14,5&lt;=Species!$H14),"H",""),IF(OR(5&gt;=Species!$G14,5&lt;=Species!$H14),"H",""))&amp;IF(Species!$I14=5,"S","")</f>
        <v>H</v>
      </c>
      <c r="H14" s="153" t="str">
        <f aca="false">IF(Species!$G14&lt;=Species!$H14,IF(AND(6&gt;=Species!$G14,6&lt;=Species!$H14),"H",""),IF(OR(6&gt;=Species!$G14,6&lt;=Species!$H14),"H",""))&amp;IF(Species!$I14=6,"S","")</f>
        <v>HS</v>
      </c>
      <c r="I14" s="153" t="str">
        <f aca="false">IF(Species!$G14&lt;=Species!$H14,IF(AND(7&gt;=Species!$G14,7&lt;=Species!$H14),"H",""),IF(OR(7&gt;=Species!$G14,7&lt;=Species!$H14),"H",""))&amp;IF(Species!$I14=7,"S","")</f>
        <v/>
      </c>
      <c r="J14" s="153" t="str">
        <f aca="false">IF(Species!$G14&lt;=Species!$H14,IF(AND(8&gt;=Species!$G14,8&lt;=Species!$H14),"H",""),IF(OR(8&gt;=Species!$G14,8&lt;=Species!$H14),"H",""))&amp;IF(Species!$I14=8,"S","")</f>
        <v/>
      </c>
      <c r="K14" s="153" t="str">
        <f aca="false">IF(Species!$G14&lt;=Species!$H14,IF(AND(9&gt;=Species!$G14,9&lt;=Species!$H14),"H",""),IF(OR(9&gt;=Species!$G14,9&lt;=Species!$H14),"H",""))&amp;IF(Species!$I14=9,"S","")</f>
        <v/>
      </c>
      <c r="L14" s="153" t="str">
        <f aca="false">IF(Species!$G14&lt;=Species!$H14,IF(AND(10&gt;=Species!$G14,10&lt;=Species!$H14),"H",""),IF(OR(10&gt;=Species!$G14,10&lt;=Species!$H14),"H",""))&amp;IF(Species!$I14=10,"S","")</f>
        <v/>
      </c>
      <c r="M14" s="153" t="str">
        <f aca="false">IF(Species!$G14&lt;=Species!$H14,IF(AND(11&gt;=Species!$G14,11&lt;=Species!$H14),"H",""),IF(OR(11&gt;=Species!$G14,11&lt;=Species!$H14),"H",""))&amp;IF(Species!$I14=11,"S","")</f>
        <v/>
      </c>
      <c r="N14" s="153" t="str">
        <f aca="false">IF(Species!$G14&lt;=Species!$H14,IF(AND(12&gt;=Species!$G14,12&lt;=Species!$H14),"H",""),IF(OR(12&gt;=Species!$G14,12&lt;=Species!$H14),"H",""))&amp;IF(Species!$I14=12,"S","")</f>
        <v/>
      </c>
    </row>
    <row r="15" customFormat="false" ht="15" hidden="false" customHeight="false" outlineLevel="0" collapsed="false">
      <c r="A15" s="6" t="str">
        <f aca="false">Species!B15</f>
        <v>Riverbank Grape</v>
      </c>
      <c r="B15" s="6" t="str">
        <f aca="false">Species!F15</f>
        <v>Fruit</v>
      </c>
      <c r="C15" s="153" t="str">
        <f aca="false">IF(Species!$G15&lt;=Species!$H15,IF(AND(1&gt;=Species!$G15,1&lt;=Species!$H15),"H",""),IF(OR(1&gt;=Species!$G15,1&lt;=Species!$H15),"H",""))&amp;IF(Species!$I15=1,"S","")</f>
        <v/>
      </c>
      <c r="D15" s="153" t="str">
        <f aca="false">IF(Species!$G15&lt;=Species!$H15,IF(AND(2&gt;=Species!$G15,2&lt;=Species!$H15),"H",""),IF(OR(2&gt;=Species!$G15,2&lt;=Species!$H15),"H",""))&amp;IF(Species!$I15=2,"S","")</f>
        <v/>
      </c>
      <c r="E15" s="153" t="str">
        <f aca="false">IF(Species!$G15&lt;=Species!$H15,IF(AND(3&gt;=Species!$G15,3&lt;=Species!$H15),"H",""),IF(OR(3&gt;=Species!$G15,3&lt;=Species!$H15),"H",""))&amp;IF(Species!$I15=3,"S","")</f>
        <v/>
      </c>
      <c r="F15" s="153" t="str">
        <f aca="false">IF(Species!$G15&lt;=Species!$H15,IF(AND(4&gt;=Species!$G15,4&lt;=Species!$H15),"H",""),IF(OR(4&gt;=Species!$G15,4&lt;=Species!$H15),"H",""))&amp;IF(Species!$I15=4,"S","")</f>
        <v/>
      </c>
      <c r="G15" s="153" t="str">
        <f aca="false">IF(Species!$G15&lt;=Species!$H15,IF(AND(5&gt;=Species!$G15,5&lt;=Species!$H15),"H",""),IF(OR(5&gt;=Species!$G15,5&lt;=Species!$H15),"H",""))&amp;IF(Species!$I15=5,"S","")</f>
        <v/>
      </c>
      <c r="H15" s="153" t="str">
        <f aca="false">IF(Species!$G15&lt;=Species!$H15,IF(AND(6&gt;=Species!$G15,6&lt;=Species!$H15),"H",""),IF(OR(6&gt;=Species!$G15,6&lt;=Species!$H15),"H",""))&amp;IF(Species!$I15=6,"S","")</f>
        <v/>
      </c>
      <c r="I15" s="153" t="str">
        <f aca="false">IF(Species!$G15&lt;=Species!$H15,IF(AND(7&gt;=Species!$G15,7&lt;=Species!$H15),"H",""),IF(OR(7&gt;=Species!$G15,7&lt;=Species!$H15),"H",""))&amp;IF(Species!$I15=7,"S","")</f>
        <v/>
      </c>
      <c r="J15" s="153" t="str">
        <f aca="false">IF(Species!$G15&lt;=Species!$H15,IF(AND(8&gt;=Species!$G15,8&lt;=Species!$H15),"H",""),IF(OR(8&gt;=Species!$G15,8&lt;=Species!$H15),"H",""))&amp;IF(Species!$I15=8,"S","")</f>
        <v>H</v>
      </c>
      <c r="K15" s="153" t="str">
        <f aca="false">IF(Species!$G15&lt;=Species!$H15,IF(AND(9&gt;=Species!$G15,9&lt;=Species!$H15),"H",""),IF(OR(9&gt;=Species!$G15,9&lt;=Species!$H15),"H",""))&amp;IF(Species!$I15=9,"S","")</f>
        <v>HS</v>
      </c>
      <c r="L15" s="153" t="str">
        <f aca="false">IF(Species!$G15&lt;=Species!$H15,IF(AND(10&gt;=Species!$G15,10&lt;=Species!$H15),"H",""),IF(OR(10&gt;=Species!$G15,10&lt;=Species!$H15),"H",""))&amp;IF(Species!$I15=10,"S","")</f>
        <v>H</v>
      </c>
      <c r="M15" s="153" t="str">
        <f aca="false">IF(Species!$G15&lt;=Species!$H15,IF(AND(11&gt;=Species!$G15,11&lt;=Species!$H15),"H",""),IF(OR(11&gt;=Species!$G15,11&lt;=Species!$H15),"H",""))&amp;IF(Species!$I15=11,"S","")</f>
        <v/>
      </c>
      <c r="N15" s="153" t="str">
        <f aca="false">IF(Species!$G15&lt;=Species!$H15,IF(AND(12&gt;=Species!$G15,12&lt;=Species!$H15),"H",""),IF(OR(12&gt;=Species!$G15,12&lt;=Species!$H15),"H",""))&amp;IF(Species!$I15=12,"S","")</f>
        <v/>
      </c>
    </row>
    <row r="16" customFormat="false" ht="15" hidden="false" customHeight="false" outlineLevel="0" collapsed="false">
      <c r="A16" s="6" t="str">
        <f aca="false">Species!B16</f>
        <v>Black Raspberry</v>
      </c>
      <c r="B16" s="6" t="str">
        <f aca="false">Species!F16</f>
        <v>Fruit</v>
      </c>
      <c r="C16" s="153" t="str">
        <f aca="false">IF(Species!$G16&lt;=Species!$H16,IF(AND(1&gt;=Species!$G16,1&lt;=Species!$H16),"H",""),IF(OR(1&gt;=Species!$G16,1&lt;=Species!$H16),"H",""))&amp;IF(Species!$I16=1,"S","")</f>
        <v/>
      </c>
      <c r="D16" s="153" t="str">
        <f aca="false">IF(Species!$G16&lt;=Species!$H16,IF(AND(2&gt;=Species!$G16,2&lt;=Species!$H16),"H",""),IF(OR(2&gt;=Species!$G16,2&lt;=Species!$H16),"H",""))&amp;IF(Species!$I16=2,"S","")</f>
        <v/>
      </c>
      <c r="E16" s="153" t="str">
        <f aca="false">IF(Species!$G16&lt;=Species!$H16,IF(AND(3&gt;=Species!$G16,3&lt;=Species!$H16),"H",""),IF(OR(3&gt;=Species!$G16,3&lt;=Species!$H16),"H",""))&amp;IF(Species!$I16=3,"S","")</f>
        <v/>
      </c>
      <c r="F16" s="153" t="str">
        <f aca="false">IF(Species!$G16&lt;=Species!$H16,IF(AND(4&gt;=Species!$G16,4&lt;=Species!$H16),"H",""),IF(OR(4&gt;=Species!$G16,4&lt;=Species!$H16),"H",""))&amp;IF(Species!$I16=4,"S","")</f>
        <v/>
      </c>
      <c r="G16" s="153" t="str">
        <f aca="false">IF(Species!$G16&lt;=Species!$H16,IF(AND(5&gt;=Species!$G16,5&lt;=Species!$H16),"H",""),IF(OR(5&gt;=Species!$G16,5&lt;=Species!$H16),"H",""))&amp;IF(Species!$I16=5,"S","")</f>
        <v/>
      </c>
      <c r="H16" s="153" t="str">
        <f aca="false">IF(Species!$G16&lt;=Species!$H16,IF(AND(6&gt;=Species!$G16,6&lt;=Species!$H16),"H",""),IF(OR(6&gt;=Species!$G16,6&lt;=Species!$H16),"H",""))&amp;IF(Species!$I16=6,"S","")</f>
        <v>H</v>
      </c>
      <c r="I16" s="153" t="str">
        <f aca="false">IF(Species!$G16&lt;=Species!$H16,IF(AND(7&gt;=Species!$G16,7&lt;=Species!$H16),"H",""),IF(OR(7&gt;=Species!$G16,7&lt;=Species!$H16),"H",""))&amp;IF(Species!$I16=7,"S","")</f>
        <v>HS</v>
      </c>
      <c r="J16" s="153" t="str">
        <f aca="false">IF(Species!$G16&lt;=Species!$H16,IF(AND(8&gt;=Species!$G16,8&lt;=Species!$H16),"H",""),IF(OR(8&gt;=Species!$G16,8&lt;=Species!$H16),"H",""))&amp;IF(Species!$I16=8,"S","")</f>
        <v/>
      </c>
      <c r="K16" s="153" t="str">
        <f aca="false">IF(Species!$G16&lt;=Species!$H16,IF(AND(9&gt;=Species!$G16,9&lt;=Species!$H16),"H",""),IF(OR(9&gt;=Species!$G16,9&lt;=Species!$H16),"H",""))&amp;IF(Species!$I16=9,"S","")</f>
        <v/>
      </c>
      <c r="L16" s="153" t="str">
        <f aca="false">IF(Species!$G16&lt;=Species!$H16,IF(AND(10&gt;=Species!$G16,10&lt;=Species!$H16),"H",""),IF(OR(10&gt;=Species!$G16,10&lt;=Species!$H16),"H",""))&amp;IF(Species!$I16=10,"S","")</f>
        <v/>
      </c>
      <c r="M16" s="153" t="str">
        <f aca="false">IF(Species!$G16&lt;=Species!$H16,IF(AND(11&gt;=Species!$G16,11&lt;=Species!$H16),"H",""),IF(OR(11&gt;=Species!$G16,11&lt;=Species!$H16),"H",""))&amp;IF(Species!$I16=11,"S","")</f>
        <v/>
      </c>
      <c r="N16" s="153" t="str">
        <f aca="false">IF(Species!$G16&lt;=Species!$H16,IF(AND(12&gt;=Species!$G16,12&lt;=Species!$H16),"H",""),IF(OR(12&gt;=Species!$G16,12&lt;=Species!$H16),"H",""))&amp;IF(Species!$I16=12,"S","")</f>
        <v/>
      </c>
    </row>
    <row r="17" customFormat="false" ht="15" hidden="false" customHeight="false" outlineLevel="0" collapsed="false">
      <c r="A17" s="6" t="str">
        <f aca="false">Species!B17</f>
        <v>Blackberry Leaf</v>
      </c>
      <c r="B17" s="6" t="str">
        <f aca="false">Species!F17</f>
        <v>Leaf</v>
      </c>
      <c r="C17" s="153" t="str">
        <f aca="false">IF(Species!$G17&lt;=Species!$H17,IF(AND(1&gt;=Species!$G17,1&lt;=Species!$H17),"H",""),IF(OR(1&gt;=Species!$G17,1&lt;=Species!$H17),"H",""))&amp;IF(Species!$I17=1,"S","")</f>
        <v/>
      </c>
      <c r="D17" s="153" t="str">
        <f aca="false">IF(Species!$G17&lt;=Species!$H17,IF(AND(2&gt;=Species!$G17,2&lt;=Species!$H17),"H",""),IF(OR(2&gt;=Species!$G17,2&lt;=Species!$H17),"H",""))&amp;IF(Species!$I17=2,"S","")</f>
        <v/>
      </c>
      <c r="E17" s="153" t="str">
        <f aca="false">IF(Species!$G17&lt;=Species!$H17,IF(AND(3&gt;=Species!$G17,3&lt;=Species!$H17),"H",""),IF(OR(3&gt;=Species!$G17,3&lt;=Species!$H17),"H",""))&amp;IF(Species!$I17=3,"S","")</f>
        <v/>
      </c>
      <c r="F17" s="153" t="str">
        <f aca="false">IF(Species!$G17&lt;=Species!$H17,IF(AND(4&gt;=Species!$G17,4&lt;=Species!$H17),"H",""),IF(OR(4&gt;=Species!$G17,4&lt;=Species!$H17),"H",""))&amp;IF(Species!$I17=4,"S","")</f>
        <v/>
      </c>
      <c r="G17" s="153" t="str">
        <f aca="false">IF(Species!$G17&lt;=Species!$H17,IF(AND(5&gt;=Species!$G17,5&lt;=Species!$H17),"H",""),IF(OR(5&gt;=Species!$G17,5&lt;=Species!$H17),"H",""))&amp;IF(Species!$I17=5,"S","")</f>
        <v>H</v>
      </c>
      <c r="H17" s="153" t="str">
        <f aca="false">IF(Species!$G17&lt;=Species!$H17,IF(AND(6&gt;=Species!$G17,6&lt;=Species!$H17),"H",""),IF(OR(6&gt;=Species!$G17,6&lt;=Species!$H17),"H",""))&amp;IF(Species!$I17=6,"S","")</f>
        <v>H</v>
      </c>
      <c r="I17" s="153" t="str">
        <f aca="false">IF(Species!$G17&lt;=Species!$H17,IF(AND(7&gt;=Species!$G17,7&lt;=Species!$H17),"H",""),IF(OR(7&gt;=Species!$G17,7&lt;=Species!$H17),"H",""))&amp;IF(Species!$I17=7,"S","")</f>
        <v>H</v>
      </c>
      <c r="J17" s="153" t="str">
        <f aca="false">IF(Species!$G17&lt;=Species!$H17,IF(AND(8&gt;=Species!$G17,8&lt;=Species!$H17),"H",""),IF(OR(8&gt;=Species!$G17,8&lt;=Species!$H17),"H",""))&amp;IF(Species!$I17=8,"S","")</f>
        <v>HS</v>
      </c>
      <c r="K17" s="153" t="str">
        <f aca="false">IF(Species!$G17&lt;=Species!$H17,IF(AND(9&gt;=Species!$G17,9&lt;=Species!$H17),"H",""),IF(OR(9&gt;=Species!$G17,9&lt;=Species!$H17),"H",""))&amp;IF(Species!$I17=9,"S","")</f>
        <v>H</v>
      </c>
      <c r="L17" s="153" t="str">
        <f aca="false">IF(Species!$G17&lt;=Species!$H17,IF(AND(10&gt;=Species!$G17,10&lt;=Species!$H17),"H",""),IF(OR(10&gt;=Species!$G17,10&lt;=Species!$H17),"H",""))&amp;IF(Species!$I17=10,"S","")</f>
        <v/>
      </c>
      <c r="M17" s="153" t="str">
        <f aca="false">IF(Species!$G17&lt;=Species!$H17,IF(AND(11&gt;=Species!$G17,11&lt;=Species!$H17),"H",""),IF(OR(11&gt;=Species!$G17,11&lt;=Species!$H17),"H",""))&amp;IF(Species!$I17=11,"S","")</f>
        <v/>
      </c>
      <c r="N17" s="153" t="str">
        <f aca="false">IF(Species!$G17&lt;=Species!$H17,IF(AND(12&gt;=Species!$G17,12&lt;=Species!$H17),"H",""),IF(OR(12&gt;=Species!$G17,12&lt;=Species!$H17),"H",""))&amp;IF(Species!$I17=12,"S","")</f>
        <v/>
      </c>
    </row>
    <row r="18" customFormat="false" ht="15" hidden="false" customHeight="false" outlineLevel="0" collapsed="false">
      <c r="A18" s="6" t="str">
        <f aca="false">Species!B18</f>
        <v>Red Mulberry</v>
      </c>
      <c r="B18" s="6" t="str">
        <f aca="false">Species!F18</f>
        <v>Fruit</v>
      </c>
      <c r="C18" s="153" t="str">
        <f aca="false">IF(Species!$G18&lt;=Species!$H18,IF(AND(1&gt;=Species!$G18,1&lt;=Species!$H18),"H",""),IF(OR(1&gt;=Species!$G18,1&lt;=Species!$H18),"H",""))&amp;IF(Species!$I18=1,"S","")</f>
        <v/>
      </c>
      <c r="D18" s="153" t="str">
        <f aca="false">IF(Species!$G18&lt;=Species!$H18,IF(AND(2&gt;=Species!$G18,2&lt;=Species!$H18),"H",""),IF(OR(2&gt;=Species!$G18,2&lt;=Species!$H18),"H",""))&amp;IF(Species!$I18=2,"S","")</f>
        <v/>
      </c>
      <c r="E18" s="153" t="str">
        <f aca="false">IF(Species!$G18&lt;=Species!$H18,IF(AND(3&gt;=Species!$G18,3&lt;=Species!$H18),"H",""),IF(OR(3&gt;=Species!$G18,3&lt;=Species!$H18),"H",""))&amp;IF(Species!$I18=3,"S","")</f>
        <v/>
      </c>
      <c r="F18" s="153" t="str">
        <f aca="false">IF(Species!$G18&lt;=Species!$H18,IF(AND(4&gt;=Species!$G18,4&lt;=Species!$H18),"H",""),IF(OR(4&gt;=Species!$G18,4&lt;=Species!$H18),"H",""))&amp;IF(Species!$I18=4,"S","")</f>
        <v/>
      </c>
      <c r="G18" s="153" t="str">
        <f aca="false">IF(Species!$G18&lt;=Species!$H18,IF(AND(5&gt;=Species!$G18,5&lt;=Species!$H18),"H",""),IF(OR(5&gt;=Species!$G18,5&lt;=Species!$H18),"H",""))&amp;IF(Species!$I18=5,"S","")</f>
        <v/>
      </c>
      <c r="H18" s="153" t="str">
        <f aca="false">IF(Species!$G18&lt;=Species!$H18,IF(AND(6&gt;=Species!$G18,6&lt;=Species!$H18),"H",""),IF(OR(6&gt;=Species!$G18,6&lt;=Species!$H18),"H",""))&amp;IF(Species!$I18=6,"S","")</f>
        <v>H</v>
      </c>
      <c r="I18" s="153" t="str">
        <f aca="false">IF(Species!$G18&lt;=Species!$H18,IF(AND(7&gt;=Species!$G18,7&lt;=Species!$H18),"H",""),IF(OR(7&gt;=Species!$G18,7&lt;=Species!$H18),"H",""))&amp;IF(Species!$I18=7,"S","")</f>
        <v>HS</v>
      </c>
      <c r="J18" s="153" t="str">
        <f aca="false">IF(Species!$G18&lt;=Species!$H18,IF(AND(8&gt;=Species!$G18,8&lt;=Species!$H18),"H",""),IF(OR(8&gt;=Species!$G18,8&lt;=Species!$H18),"H",""))&amp;IF(Species!$I18=8,"S","")</f>
        <v/>
      </c>
      <c r="K18" s="153" t="str">
        <f aca="false">IF(Species!$G18&lt;=Species!$H18,IF(AND(9&gt;=Species!$G18,9&lt;=Species!$H18),"H",""),IF(OR(9&gt;=Species!$G18,9&lt;=Species!$H18),"H",""))&amp;IF(Species!$I18=9,"S","")</f>
        <v/>
      </c>
      <c r="L18" s="153" t="str">
        <f aca="false">IF(Species!$G18&lt;=Species!$H18,IF(AND(10&gt;=Species!$G18,10&lt;=Species!$H18),"H",""),IF(OR(10&gt;=Species!$G18,10&lt;=Species!$H18),"H",""))&amp;IF(Species!$I18=10,"S","")</f>
        <v/>
      </c>
      <c r="M18" s="153" t="str">
        <f aca="false">IF(Species!$G18&lt;=Species!$H18,IF(AND(11&gt;=Species!$G18,11&lt;=Species!$H18),"H",""),IF(OR(11&gt;=Species!$G18,11&lt;=Species!$H18),"H",""))&amp;IF(Species!$I18=11,"S","")</f>
        <v/>
      </c>
      <c r="N18" s="153" t="str">
        <f aca="false">IF(Species!$G18&lt;=Species!$H18,IF(AND(12&gt;=Species!$G18,12&lt;=Species!$H18),"H",""),IF(OR(12&gt;=Species!$G18,12&lt;=Species!$H18),"H",""))&amp;IF(Species!$I18=12,"S","")</f>
        <v/>
      </c>
    </row>
    <row r="19" customFormat="false" ht="15" hidden="false" customHeight="false" outlineLevel="0" collapsed="false">
      <c r="A19" s="6" t="str">
        <f aca="false">Species!B19</f>
        <v>Pawpaw</v>
      </c>
      <c r="B19" s="6" t="str">
        <f aca="false">Species!F19</f>
        <v>Fruit</v>
      </c>
      <c r="C19" s="153" t="str">
        <f aca="false">IF(Species!$G19&lt;=Species!$H19,IF(AND(1&gt;=Species!$G19,1&lt;=Species!$H19),"H",""),IF(OR(1&gt;=Species!$G19,1&lt;=Species!$H19),"H",""))&amp;IF(Species!$I19=1,"S","")</f>
        <v/>
      </c>
      <c r="D19" s="153" t="str">
        <f aca="false">IF(Species!$G19&lt;=Species!$H19,IF(AND(2&gt;=Species!$G19,2&lt;=Species!$H19),"H",""),IF(OR(2&gt;=Species!$G19,2&lt;=Species!$H19),"H",""))&amp;IF(Species!$I19=2,"S","")</f>
        <v/>
      </c>
      <c r="E19" s="153" t="str">
        <f aca="false">IF(Species!$G19&lt;=Species!$H19,IF(AND(3&gt;=Species!$G19,3&lt;=Species!$H19),"H",""),IF(OR(3&gt;=Species!$G19,3&lt;=Species!$H19),"H",""))&amp;IF(Species!$I19=3,"S","")</f>
        <v/>
      </c>
      <c r="F19" s="153" t="str">
        <f aca="false">IF(Species!$G19&lt;=Species!$H19,IF(AND(4&gt;=Species!$G19,4&lt;=Species!$H19),"H",""),IF(OR(4&gt;=Species!$G19,4&lt;=Species!$H19),"H",""))&amp;IF(Species!$I19=4,"S","")</f>
        <v/>
      </c>
      <c r="G19" s="153" t="str">
        <f aca="false">IF(Species!$G19&lt;=Species!$H19,IF(AND(5&gt;=Species!$G19,5&lt;=Species!$H19),"H",""),IF(OR(5&gt;=Species!$G19,5&lt;=Species!$H19),"H",""))&amp;IF(Species!$I19=5,"S","")</f>
        <v/>
      </c>
      <c r="H19" s="153" t="str">
        <f aca="false">IF(Species!$G19&lt;=Species!$H19,IF(AND(6&gt;=Species!$G19,6&lt;=Species!$H19),"H",""),IF(OR(6&gt;=Species!$G19,6&lt;=Species!$H19),"H",""))&amp;IF(Species!$I19=6,"S","")</f>
        <v/>
      </c>
      <c r="I19" s="153" t="str">
        <f aca="false">IF(Species!$G19&lt;=Species!$H19,IF(AND(7&gt;=Species!$G19,7&lt;=Species!$H19),"H",""),IF(OR(7&gt;=Species!$G19,7&lt;=Species!$H19),"H",""))&amp;IF(Species!$I19=7,"S","")</f>
        <v/>
      </c>
      <c r="J19" s="153" t="str">
        <f aca="false">IF(Species!$G19&lt;=Species!$H19,IF(AND(8&gt;=Species!$G19,8&lt;=Species!$H19),"H",""),IF(OR(8&gt;=Species!$G19,8&lt;=Species!$H19),"H",""))&amp;IF(Species!$I19=8,"S","")</f>
        <v/>
      </c>
      <c r="K19" s="153" t="str">
        <f aca="false">IF(Species!$G19&lt;=Species!$H19,IF(AND(9&gt;=Species!$G19,9&lt;=Species!$H19),"H",""),IF(OR(9&gt;=Species!$G19,9&lt;=Species!$H19),"H",""))&amp;IF(Species!$I19=9,"S","")</f>
        <v>H</v>
      </c>
      <c r="L19" s="153" t="str">
        <f aca="false">IF(Species!$G19&lt;=Species!$H19,IF(AND(10&gt;=Species!$G19,10&lt;=Species!$H19),"H",""),IF(OR(10&gt;=Species!$G19,10&lt;=Species!$H19),"H",""))&amp;IF(Species!$I19=10,"S","")</f>
        <v>HS</v>
      </c>
      <c r="M19" s="153" t="str">
        <f aca="false">IF(Species!$G19&lt;=Species!$H19,IF(AND(11&gt;=Species!$G19,11&lt;=Species!$H19),"H",""),IF(OR(11&gt;=Species!$G19,11&lt;=Species!$H19),"H",""))&amp;IF(Species!$I19=11,"S","")</f>
        <v/>
      </c>
      <c r="N19" s="153" t="str">
        <f aca="false">IF(Species!$G19&lt;=Species!$H19,IF(AND(12&gt;=Species!$G19,12&lt;=Species!$H19),"H",""),IF(OR(12&gt;=Species!$G19,12&lt;=Species!$H19),"H",""))&amp;IF(Species!$I19=12,"S","")</f>
        <v/>
      </c>
    </row>
    <row r="20" customFormat="false" ht="15" hidden="false" customHeight="false" outlineLevel="0" collapsed="false">
      <c r="A20" s="6" t="str">
        <f aca="false">Species!B20</f>
        <v>Persimmon</v>
      </c>
      <c r="B20" s="6" t="str">
        <f aca="false">Species!F20</f>
        <v>Fruit</v>
      </c>
      <c r="C20" s="153" t="str">
        <f aca="false">IF(Species!$G20&lt;=Species!$H20,IF(AND(1&gt;=Species!$G20,1&lt;=Species!$H20),"H",""),IF(OR(1&gt;=Species!$G20,1&lt;=Species!$H20),"H",""))&amp;IF(Species!$I20=1,"S","")</f>
        <v/>
      </c>
      <c r="D20" s="153" t="str">
        <f aca="false">IF(Species!$G20&lt;=Species!$H20,IF(AND(2&gt;=Species!$G20,2&lt;=Species!$H20),"H",""),IF(OR(2&gt;=Species!$G20,2&lt;=Species!$H20),"H",""))&amp;IF(Species!$I20=2,"S","")</f>
        <v/>
      </c>
      <c r="E20" s="153" t="str">
        <f aca="false">IF(Species!$G20&lt;=Species!$H20,IF(AND(3&gt;=Species!$G20,3&lt;=Species!$H20),"H",""),IF(OR(3&gt;=Species!$G20,3&lt;=Species!$H20),"H",""))&amp;IF(Species!$I20=3,"S","")</f>
        <v/>
      </c>
      <c r="F20" s="153" t="str">
        <f aca="false">IF(Species!$G20&lt;=Species!$H20,IF(AND(4&gt;=Species!$G20,4&lt;=Species!$H20),"H",""),IF(OR(4&gt;=Species!$G20,4&lt;=Species!$H20),"H",""))&amp;IF(Species!$I20=4,"S","")</f>
        <v/>
      </c>
      <c r="G20" s="153" t="str">
        <f aca="false">IF(Species!$G20&lt;=Species!$H20,IF(AND(5&gt;=Species!$G20,5&lt;=Species!$H20),"H",""),IF(OR(5&gt;=Species!$G20,5&lt;=Species!$H20),"H",""))&amp;IF(Species!$I20=5,"S","")</f>
        <v/>
      </c>
      <c r="H20" s="153" t="str">
        <f aca="false">IF(Species!$G20&lt;=Species!$H20,IF(AND(6&gt;=Species!$G20,6&lt;=Species!$H20),"H",""),IF(OR(6&gt;=Species!$G20,6&lt;=Species!$H20),"H",""))&amp;IF(Species!$I20=6,"S","")</f>
        <v/>
      </c>
      <c r="I20" s="153" t="str">
        <f aca="false">IF(Species!$G20&lt;=Species!$H20,IF(AND(7&gt;=Species!$G20,7&lt;=Species!$H20),"H",""),IF(OR(7&gt;=Species!$G20,7&lt;=Species!$H20),"H",""))&amp;IF(Species!$I20=7,"S","")</f>
        <v/>
      </c>
      <c r="J20" s="153" t="str">
        <f aca="false">IF(Species!$G20&lt;=Species!$H20,IF(AND(8&gt;=Species!$G20,8&lt;=Species!$H20),"H",""),IF(OR(8&gt;=Species!$G20,8&lt;=Species!$H20),"H",""))&amp;IF(Species!$I20=8,"S","")</f>
        <v/>
      </c>
      <c r="K20" s="153" t="str">
        <f aca="false">IF(Species!$G20&lt;=Species!$H20,IF(AND(9&gt;=Species!$G20,9&lt;=Species!$H20),"H",""),IF(OR(9&gt;=Species!$G20,9&lt;=Species!$H20),"H",""))&amp;IF(Species!$I20=9,"S","")</f>
        <v/>
      </c>
      <c r="L20" s="153" t="str">
        <f aca="false">IF(Species!$G20&lt;=Species!$H20,IF(AND(10&gt;=Species!$G20,10&lt;=Species!$H20),"H",""),IF(OR(10&gt;=Species!$G20,10&lt;=Species!$H20),"H",""))&amp;IF(Species!$I20=10,"S","")</f>
        <v>H</v>
      </c>
      <c r="M20" s="153" t="str">
        <f aca="false">IF(Species!$G20&lt;=Species!$H20,IF(AND(11&gt;=Species!$G20,11&lt;=Species!$H20),"H",""),IF(OR(11&gt;=Species!$G20,11&lt;=Species!$H20),"H",""))&amp;IF(Species!$I20=11,"S","")</f>
        <v>HS</v>
      </c>
      <c r="N20" s="153" t="str">
        <f aca="false">IF(Species!$G20&lt;=Species!$H20,IF(AND(12&gt;=Species!$G20,12&lt;=Species!$H20),"H",""),IF(OR(12&gt;=Species!$G20,12&lt;=Species!$H20),"H",""))&amp;IF(Species!$I20=12,"S","")</f>
        <v>H</v>
      </c>
    </row>
    <row r="21" customFormat="false" ht="15" hidden="false" customHeight="false" outlineLevel="0" collapsed="false">
      <c r="A21" s="6" t="str">
        <f aca="false">Species!B21</f>
        <v>Shagbark Hickory Nut</v>
      </c>
      <c r="B21" s="6" t="str">
        <f aca="false">Species!F21</f>
        <v>Seed</v>
      </c>
      <c r="C21" s="153" t="str">
        <f aca="false">IF(Species!$G21&lt;=Species!$H21,IF(AND(1&gt;=Species!$G21,1&lt;=Species!$H21),"H",""),IF(OR(1&gt;=Species!$G21,1&lt;=Species!$H21),"H",""))&amp;IF(Species!$I21=1,"S","")</f>
        <v/>
      </c>
      <c r="D21" s="153" t="str">
        <f aca="false">IF(Species!$G21&lt;=Species!$H21,IF(AND(2&gt;=Species!$G21,2&lt;=Species!$H21),"H",""),IF(OR(2&gt;=Species!$G21,2&lt;=Species!$H21),"H",""))&amp;IF(Species!$I21=2,"S","")</f>
        <v/>
      </c>
      <c r="E21" s="153" t="str">
        <f aca="false">IF(Species!$G21&lt;=Species!$H21,IF(AND(3&gt;=Species!$G21,3&lt;=Species!$H21),"H",""),IF(OR(3&gt;=Species!$G21,3&lt;=Species!$H21),"H",""))&amp;IF(Species!$I21=3,"S","")</f>
        <v/>
      </c>
      <c r="F21" s="153" t="str">
        <f aca="false">IF(Species!$G21&lt;=Species!$H21,IF(AND(4&gt;=Species!$G21,4&lt;=Species!$H21),"H",""),IF(OR(4&gt;=Species!$G21,4&lt;=Species!$H21),"H",""))&amp;IF(Species!$I21=4,"S","")</f>
        <v/>
      </c>
      <c r="G21" s="153" t="str">
        <f aca="false">IF(Species!$G21&lt;=Species!$H21,IF(AND(5&gt;=Species!$G21,5&lt;=Species!$H21),"H",""),IF(OR(5&gt;=Species!$G21,5&lt;=Species!$H21),"H",""))&amp;IF(Species!$I21=5,"S","")</f>
        <v/>
      </c>
      <c r="H21" s="153" t="str">
        <f aca="false">IF(Species!$G21&lt;=Species!$H21,IF(AND(6&gt;=Species!$G21,6&lt;=Species!$H21),"H",""),IF(OR(6&gt;=Species!$G21,6&lt;=Species!$H21),"H",""))&amp;IF(Species!$I21=6,"S","")</f>
        <v/>
      </c>
      <c r="I21" s="153" t="str">
        <f aca="false">IF(Species!$G21&lt;=Species!$H21,IF(AND(7&gt;=Species!$G21,7&lt;=Species!$H21),"H",""),IF(OR(7&gt;=Species!$G21,7&lt;=Species!$H21),"H",""))&amp;IF(Species!$I21=7,"S","")</f>
        <v/>
      </c>
      <c r="J21" s="153" t="str">
        <f aca="false">IF(Species!$G21&lt;=Species!$H21,IF(AND(8&gt;=Species!$G21,8&lt;=Species!$H21),"H",""),IF(OR(8&gt;=Species!$G21,8&lt;=Species!$H21),"H",""))&amp;IF(Species!$I21=8,"S","")</f>
        <v/>
      </c>
      <c r="K21" s="153" t="str">
        <f aca="false">IF(Species!$G21&lt;=Species!$H21,IF(AND(9&gt;=Species!$G21,9&lt;=Species!$H21),"H",""),IF(OR(9&gt;=Species!$G21,9&lt;=Species!$H21),"H",""))&amp;IF(Species!$I21=9,"S","")</f>
        <v>H</v>
      </c>
      <c r="L21" s="153" t="str">
        <f aca="false">IF(Species!$G21&lt;=Species!$H21,IF(AND(10&gt;=Species!$G21,10&lt;=Species!$H21),"H",""),IF(OR(10&gt;=Species!$G21,10&lt;=Species!$H21),"H",""))&amp;IF(Species!$I21=10,"S","")</f>
        <v>HS</v>
      </c>
      <c r="M21" s="153" t="str">
        <f aca="false">IF(Species!$G21&lt;=Species!$H21,IF(AND(11&gt;=Species!$G21,11&lt;=Species!$H21),"H",""),IF(OR(11&gt;=Species!$G21,11&lt;=Species!$H21),"H",""))&amp;IF(Species!$I21=11,"S","")</f>
        <v/>
      </c>
      <c r="N21" s="153" t="str">
        <f aca="false">IF(Species!$G21&lt;=Species!$H21,IF(AND(12&gt;=Species!$G21,12&lt;=Species!$H21),"H",""),IF(OR(12&gt;=Species!$G21,12&lt;=Species!$H21),"H",""))&amp;IF(Species!$I21=12,"S","")</f>
        <v/>
      </c>
    </row>
    <row r="22" customFormat="false" ht="15" hidden="false" customHeight="false" outlineLevel="0" collapsed="false">
      <c r="A22" s="6" t="str">
        <f aca="false">Species!B22</f>
        <v>Black Walnut Hull</v>
      </c>
      <c r="B22" s="6" t="str">
        <f aca="false">Species!F22</f>
        <v>Fruit</v>
      </c>
      <c r="C22" s="153" t="str">
        <f aca="false">IF(Species!$G22&lt;=Species!$H22,IF(AND(1&gt;=Species!$G22,1&lt;=Species!$H22),"H",""),IF(OR(1&gt;=Species!$G22,1&lt;=Species!$H22),"H",""))&amp;IF(Species!$I22=1,"S","")</f>
        <v/>
      </c>
      <c r="D22" s="153" t="str">
        <f aca="false">IF(Species!$G22&lt;=Species!$H22,IF(AND(2&gt;=Species!$G22,2&lt;=Species!$H22),"H",""),IF(OR(2&gt;=Species!$G22,2&lt;=Species!$H22),"H",""))&amp;IF(Species!$I22=2,"S","")</f>
        <v/>
      </c>
      <c r="E22" s="153" t="str">
        <f aca="false">IF(Species!$G22&lt;=Species!$H22,IF(AND(3&gt;=Species!$G22,3&lt;=Species!$H22),"H",""),IF(OR(3&gt;=Species!$G22,3&lt;=Species!$H22),"H",""))&amp;IF(Species!$I22=3,"S","")</f>
        <v/>
      </c>
      <c r="F22" s="153" t="str">
        <f aca="false">IF(Species!$G22&lt;=Species!$H22,IF(AND(4&gt;=Species!$G22,4&lt;=Species!$H22),"H",""),IF(OR(4&gt;=Species!$G22,4&lt;=Species!$H22),"H",""))&amp;IF(Species!$I22=4,"S","")</f>
        <v/>
      </c>
      <c r="G22" s="153" t="str">
        <f aca="false">IF(Species!$G22&lt;=Species!$H22,IF(AND(5&gt;=Species!$G22,5&lt;=Species!$H22),"H",""),IF(OR(5&gt;=Species!$G22,5&lt;=Species!$H22),"H",""))&amp;IF(Species!$I22=5,"S","")</f>
        <v/>
      </c>
      <c r="H22" s="153" t="str">
        <f aca="false">IF(Species!$G22&lt;=Species!$H22,IF(AND(6&gt;=Species!$G22,6&lt;=Species!$H22),"H",""),IF(OR(6&gt;=Species!$G22,6&lt;=Species!$H22),"H",""))&amp;IF(Species!$I22=6,"S","")</f>
        <v/>
      </c>
      <c r="I22" s="153" t="str">
        <f aca="false">IF(Species!$G22&lt;=Species!$H22,IF(AND(7&gt;=Species!$G22,7&lt;=Species!$H22),"H",""),IF(OR(7&gt;=Species!$G22,7&lt;=Species!$H22),"H",""))&amp;IF(Species!$I22=7,"S","")</f>
        <v/>
      </c>
      <c r="J22" s="153" t="str">
        <f aca="false">IF(Species!$G22&lt;=Species!$H22,IF(AND(8&gt;=Species!$G22,8&lt;=Species!$H22),"H",""),IF(OR(8&gt;=Species!$G22,8&lt;=Species!$H22),"H",""))&amp;IF(Species!$I22=8,"S","")</f>
        <v/>
      </c>
      <c r="K22" s="153" t="str">
        <f aca="false">IF(Species!$G22&lt;=Species!$H22,IF(AND(9&gt;=Species!$G22,9&lt;=Species!$H22),"H",""),IF(OR(9&gt;=Species!$G22,9&lt;=Species!$H22),"H",""))&amp;IF(Species!$I22=9,"S","")</f>
        <v>H</v>
      </c>
      <c r="L22" s="153" t="str">
        <f aca="false">IF(Species!$G22&lt;=Species!$H22,IF(AND(10&gt;=Species!$G22,10&lt;=Species!$H22),"H",""),IF(OR(10&gt;=Species!$G22,10&lt;=Species!$H22),"H",""))&amp;IF(Species!$I22=10,"S","")</f>
        <v>HS</v>
      </c>
      <c r="M22" s="153" t="str">
        <f aca="false">IF(Species!$G22&lt;=Species!$H22,IF(AND(11&gt;=Species!$G22,11&lt;=Species!$H22),"H",""),IF(OR(11&gt;=Species!$G22,11&lt;=Species!$H22),"H",""))&amp;IF(Species!$I22=11,"S","")</f>
        <v/>
      </c>
      <c r="N22" s="153" t="str">
        <f aca="false">IF(Species!$G22&lt;=Species!$H22,IF(AND(12&gt;=Species!$G22,12&lt;=Species!$H22),"H",""),IF(OR(12&gt;=Species!$G22,12&lt;=Species!$H22),"H",""))&amp;IF(Species!$I22=12,"S","")</f>
        <v/>
      </c>
    </row>
    <row r="23" customFormat="false" ht="15" hidden="false" customHeight="false" outlineLevel="0" collapsed="false">
      <c r="A23" s="6" t="str">
        <f aca="false">Species!B23</f>
        <v>White Oak Acorn</v>
      </c>
      <c r="B23" s="6" t="str">
        <f aca="false">Species!F23</f>
        <v>Seed</v>
      </c>
      <c r="C23" s="153" t="str">
        <f aca="false">IF(Species!$G23&lt;=Species!$H23,IF(AND(1&gt;=Species!$G23,1&lt;=Species!$H23),"H",""),IF(OR(1&gt;=Species!$G23,1&lt;=Species!$H23),"H",""))&amp;IF(Species!$I23=1,"S","")</f>
        <v/>
      </c>
      <c r="D23" s="153" t="str">
        <f aca="false">IF(Species!$G23&lt;=Species!$H23,IF(AND(2&gt;=Species!$G23,2&lt;=Species!$H23),"H",""),IF(OR(2&gt;=Species!$G23,2&lt;=Species!$H23),"H",""))&amp;IF(Species!$I23=2,"S","")</f>
        <v/>
      </c>
      <c r="E23" s="153" t="str">
        <f aca="false">IF(Species!$G23&lt;=Species!$H23,IF(AND(3&gt;=Species!$G23,3&lt;=Species!$H23),"H",""),IF(OR(3&gt;=Species!$G23,3&lt;=Species!$H23),"H",""))&amp;IF(Species!$I23=3,"S","")</f>
        <v/>
      </c>
      <c r="F23" s="153" t="str">
        <f aca="false">IF(Species!$G23&lt;=Species!$H23,IF(AND(4&gt;=Species!$G23,4&lt;=Species!$H23),"H",""),IF(OR(4&gt;=Species!$G23,4&lt;=Species!$H23),"H",""))&amp;IF(Species!$I23=4,"S","")</f>
        <v/>
      </c>
      <c r="G23" s="153" t="str">
        <f aca="false">IF(Species!$G23&lt;=Species!$H23,IF(AND(5&gt;=Species!$G23,5&lt;=Species!$H23),"H",""),IF(OR(5&gt;=Species!$G23,5&lt;=Species!$H23),"H",""))&amp;IF(Species!$I23=5,"S","")</f>
        <v/>
      </c>
      <c r="H23" s="153" t="str">
        <f aca="false">IF(Species!$G23&lt;=Species!$H23,IF(AND(6&gt;=Species!$G23,6&lt;=Species!$H23),"H",""),IF(OR(6&gt;=Species!$G23,6&lt;=Species!$H23),"H",""))&amp;IF(Species!$I23=6,"S","")</f>
        <v/>
      </c>
      <c r="I23" s="153" t="str">
        <f aca="false">IF(Species!$G23&lt;=Species!$H23,IF(AND(7&gt;=Species!$G23,7&lt;=Species!$H23),"H",""),IF(OR(7&gt;=Species!$G23,7&lt;=Species!$H23),"H",""))&amp;IF(Species!$I23=7,"S","")</f>
        <v/>
      </c>
      <c r="J23" s="153" t="str">
        <f aca="false">IF(Species!$G23&lt;=Species!$H23,IF(AND(8&gt;=Species!$G23,8&lt;=Species!$H23),"H",""),IF(OR(8&gt;=Species!$G23,8&lt;=Species!$H23),"H",""))&amp;IF(Species!$I23=8,"S","")</f>
        <v/>
      </c>
      <c r="K23" s="153" t="str">
        <f aca="false">IF(Species!$G23&lt;=Species!$H23,IF(AND(9&gt;=Species!$G23,9&lt;=Species!$H23),"H",""),IF(OR(9&gt;=Species!$G23,9&lt;=Species!$H23),"H",""))&amp;IF(Species!$I23=9,"S","")</f>
        <v>H</v>
      </c>
      <c r="L23" s="153" t="str">
        <f aca="false">IF(Species!$G23&lt;=Species!$H23,IF(AND(10&gt;=Species!$G23,10&lt;=Species!$H23),"H",""),IF(OR(10&gt;=Species!$G23,10&lt;=Species!$H23),"H",""))&amp;IF(Species!$I23=10,"S","")</f>
        <v>HS</v>
      </c>
      <c r="M23" s="153" t="str">
        <f aca="false">IF(Species!$G23&lt;=Species!$H23,IF(AND(11&gt;=Species!$G23,11&lt;=Species!$H23),"H",""),IF(OR(11&gt;=Species!$G23,11&lt;=Species!$H23),"H",""))&amp;IF(Species!$I23=11,"S","")</f>
        <v>H</v>
      </c>
      <c r="N23" s="153" t="str">
        <f aca="false">IF(Species!$G23&lt;=Species!$H23,IF(AND(12&gt;=Species!$G23,12&lt;=Species!$H23),"H",""),IF(OR(12&gt;=Species!$G23,12&lt;=Species!$H23),"H",""))&amp;IF(Species!$I23=12,"S","")</f>
        <v/>
      </c>
    </row>
    <row r="24" customFormat="false" ht="15" hidden="false" customHeight="false" outlineLevel="0" collapsed="false">
      <c r="A24" s="6" t="str">
        <f aca="false">Species!B24</f>
        <v>White Oak Bark</v>
      </c>
      <c r="B24" s="6" t="str">
        <f aca="false">Species!F24</f>
        <v>Bark</v>
      </c>
      <c r="C24" s="153" t="str">
        <f aca="false">IF(Species!$G24&lt;=Species!$H24,IF(AND(1&gt;=Species!$G24,1&lt;=Species!$H24),"H",""),IF(OR(1&gt;=Species!$G24,1&lt;=Species!$H24),"H",""))&amp;IF(Species!$I24=1,"S","")</f>
        <v/>
      </c>
      <c r="D24" s="153" t="str">
        <f aca="false">IF(Species!$G24&lt;=Species!$H24,IF(AND(2&gt;=Species!$G24,2&lt;=Species!$H24),"H",""),IF(OR(2&gt;=Species!$G24,2&lt;=Species!$H24),"H",""))&amp;IF(Species!$I24=2,"S","")</f>
        <v/>
      </c>
      <c r="E24" s="153" t="str">
        <f aca="false">IF(Species!$G24&lt;=Species!$H24,IF(AND(3&gt;=Species!$G24,3&lt;=Species!$H24),"H",""),IF(OR(3&gt;=Species!$G24,3&lt;=Species!$H24),"H",""))&amp;IF(Species!$I24=3,"S","")</f>
        <v>H</v>
      </c>
      <c r="F24" s="153" t="str">
        <f aca="false">IF(Species!$G24&lt;=Species!$H24,IF(AND(4&gt;=Species!$G24,4&lt;=Species!$H24),"H",""),IF(OR(4&gt;=Species!$G24,4&lt;=Species!$H24),"H",""))&amp;IF(Species!$I24=4,"S","")</f>
        <v>H</v>
      </c>
      <c r="G24" s="153" t="str">
        <f aca="false">IF(Species!$G24&lt;=Species!$H24,IF(AND(5&gt;=Species!$G24,5&lt;=Species!$H24),"H",""),IF(OR(5&gt;=Species!$G24,5&lt;=Species!$H24),"H",""))&amp;IF(Species!$I24=5,"S","")</f>
        <v>H</v>
      </c>
      <c r="H24" s="153" t="str">
        <f aca="false">IF(Species!$G24&lt;=Species!$H24,IF(AND(6&gt;=Species!$G24,6&lt;=Species!$H24),"H",""),IF(OR(6&gt;=Species!$G24,6&lt;=Species!$H24),"H",""))&amp;IF(Species!$I24=6,"S","")</f>
        <v/>
      </c>
      <c r="I24" s="153" t="str">
        <f aca="false">IF(Species!$G24&lt;=Species!$H24,IF(AND(7&gt;=Species!$G24,7&lt;=Species!$H24),"H",""),IF(OR(7&gt;=Species!$G24,7&lt;=Species!$H24),"H",""))&amp;IF(Species!$I24=7,"S","")</f>
        <v/>
      </c>
      <c r="J24" s="153" t="str">
        <f aca="false">IF(Species!$G24&lt;=Species!$H24,IF(AND(8&gt;=Species!$G24,8&lt;=Species!$H24),"H",""),IF(OR(8&gt;=Species!$G24,8&lt;=Species!$H24),"H",""))&amp;IF(Species!$I24=8,"S","")</f>
        <v/>
      </c>
      <c r="K24" s="153" t="str">
        <f aca="false">IF(Species!$G24&lt;=Species!$H24,IF(AND(9&gt;=Species!$G24,9&lt;=Species!$H24),"H",""),IF(OR(9&gt;=Species!$G24,9&lt;=Species!$H24),"H",""))&amp;IF(Species!$I24=9,"S","")</f>
        <v/>
      </c>
      <c r="L24" s="153" t="str">
        <f aca="false">IF(Species!$G24&lt;=Species!$H24,IF(AND(10&gt;=Species!$G24,10&lt;=Species!$H24),"H",""),IF(OR(10&gt;=Species!$G24,10&lt;=Species!$H24),"H",""))&amp;IF(Species!$I24=10,"S","")</f>
        <v/>
      </c>
      <c r="M24" s="153" t="str">
        <f aca="false">IF(Species!$G24&lt;=Species!$H24,IF(AND(11&gt;=Species!$G24,11&lt;=Species!$H24),"H",""),IF(OR(11&gt;=Species!$G24,11&lt;=Species!$H24),"H",""))&amp;IF(Species!$I24=11,"S","")</f>
        <v/>
      </c>
      <c r="N24" s="153" t="str">
        <f aca="false">IF(Species!$G24&lt;=Species!$H24,IF(AND(12&gt;=Species!$G24,12&lt;=Species!$H24),"H",""),IF(OR(12&gt;=Species!$G24,12&lt;=Species!$H24),"H",""))&amp;IF(Species!$I24=12,"S","")</f>
        <v/>
      </c>
    </row>
    <row r="25" customFormat="false" ht="15" hidden="false" customHeight="false" outlineLevel="0" collapsed="false">
      <c r="A25" s="6" t="str">
        <f aca="false">Species!B25</f>
        <v>Shagbark Hickory Bark</v>
      </c>
      <c r="B25" s="6" t="str">
        <f aca="false">Species!F25</f>
        <v>Bark</v>
      </c>
      <c r="C25" s="153" t="str">
        <f aca="false">IF(Species!$G25&lt;=Species!$H25,IF(AND(1&gt;=Species!$G25,1&lt;=Species!$H25),"H",""),IF(OR(1&gt;=Species!$G25,1&lt;=Species!$H25),"H",""))&amp;IF(Species!$I25=1,"S","")</f>
        <v>H</v>
      </c>
      <c r="D25" s="153" t="str">
        <f aca="false">IF(Species!$G25&lt;=Species!$H25,IF(AND(2&gt;=Species!$G25,2&lt;=Species!$H25),"H",""),IF(OR(2&gt;=Species!$G25,2&lt;=Species!$H25),"H",""))&amp;IF(Species!$I25=2,"S","")</f>
        <v>H</v>
      </c>
      <c r="E25" s="153" t="str">
        <f aca="false">IF(Species!$G25&lt;=Species!$H25,IF(AND(3&gt;=Species!$G25,3&lt;=Species!$H25),"H",""),IF(OR(3&gt;=Species!$G25,3&lt;=Species!$H25),"H",""))&amp;IF(Species!$I25=3,"S","")</f>
        <v>H</v>
      </c>
      <c r="F25" s="153" t="str">
        <f aca="false">IF(Species!$G25&lt;=Species!$H25,IF(AND(4&gt;=Species!$G25,4&lt;=Species!$H25),"H",""),IF(OR(4&gt;=Species!$G25,4&lt;=Species!$H25),"H",""))&amp;IF(Species!$I25=4,"S","")</f>
        <v>H</v>
      </c>
      <c r="G25" s="153" t="str">
        <f aca="false">IF(Species!$G25&lt;=Species!$H25,IF(AND(5&gt;=Species!$G25,5&lt;=Species!$H25),"H",""),IF(OR(5&gt;=Species!$G25,5&lt;=Species!$H25),"H",""))&amp;IF(Species!$I25=5,"S","")</f>
        <v>H</v>
      </c>
      <c r="H25" s="153" t="str">
        <f aca="false">IF(Species!$G25&lt;=Species!$H25,IF(AND(6&gt;=Species!$G25,6&lt;=Species!$H25),"H",""),IF(OR(6&gt;=Species!$G25,6&lt;=Species!$H25),"H",""))&amp;IF(Species!$I25=6,"S","")</f>
        <v>H</v>
      </c>
      <c r="I25" s="153" t="str">
        <f aca="false">IF(Species!$G25&lt;=Species!$H25,IF(AND(7&gt;=Species!$G25,7&lt;=Species!$H25),"H",""),IF(OR(7&gt;=Species!$G25,7&lt;=Species!$H25),"H",""))&amp;IF(Species!$I25=7,"S","")</f>
        <v>H</v>
      </c>
      <c r="J25" s="153" t="str">
        <f aca="false">IF(Species!$G25&lt;=Species!$H25,IF(AND(8&gt;=Species!$G25,8&lt;=Species!$H25),"H",""),IF(OR(8&gt;=Species!$G25,8&lt;=Species!$H25),"H",""))&amp;IF(Species!$I25=8,"S","")</f>
        <v>H</v>
      </c>
      <c r="K25" s="153" t="str">
        <f aca="false">IF(Species!$G25&lt;=Species!$H25,IF(AND(9&gt;=Species!$G25,9&lt;=Species!$H25),"H",""),IF(OR(9&gt;=Species!$G25,9&lt;=Species!$H25),"H",""))&amp;IF(Species!$I25=9,"S","")</f>
        <v>H</v>
      </c>
      <c r="L25" s="153" t="str">
        <f aca="false">IF(Species!$G25&lt;=Species!$H25,IF(AND(10&gt;=Species!$G25,10&lt;=Species!$H25),"H",""),IF(OR(10&gt;=Species!$G25,10&lt;=Species!$H25),"H",""))&amp;IF(Species!$I25=10,"S","")</f>
        <v>H</v>
      </c>
      <c r="M25" s="153" t="str">
        <f aca="false">IF(Species!$G25&lt;=Species!$H25,IF(AND(11&gt;=Species!$G25,11&lt;=Species!$H25),"H",""),IF(OR(11&gt;=Species!$G25,11&lt;=Species!$H25),"H",""))&amp;IF(Species!$I25=11,"S","")</f>
        <v>H</v>
      </c>
      <c r="N25" s="153" t="str">
        <f aca="false">IF(Species!$G25&lt;=Species!$H25,IF(AND(12&gt;=Species!$G25,12&lt;=Species!$H25),"H",""),IF(OR(12&gt;=Species!$G25,12&lt;=Species!$H25),"H",""))&amp;IF(Species!$I25=12,"S","")</f>
        <v>H</v>
      </c>
    </row>
    <row r="26" customFormat="false" ht="15" hidden="false" customHeight="false" outlineLevel="0" collapsed="false">
      <c r="A26" s="6" t="str">
        <f aca="false">Species!B26</f>
        <v>Sugar Maple Sap</v>
      </c>
      <c r="B26" s="6" t="str">
        <f aca="false">Species!F26</f>
        <v>Sap</v>
      </c>
      <c r="C26" s="153" t="str">
        <f aca="false">IF(Species!$G26&lt;=Species!$H26,IF(AND(1&gt;=Species!$G26,1&lt;=Species!$H26),"H",""),IF(OR(1&gt;=Species!$G26,1&lt;=Species!$H26),"H",""))&amp;IF(Species!$I26=1,"S","")</f>
        <v/>
      </c>
      <c r="D26" s="153" t="str">
        <f aca="false">IF(Species!$G26&lt;=Species!$H26,IF(AND(2&gt;=Species!$G26,2&lt;=Species!$H26),"H",""),IF(OR(2&gt;=Species!$G26,2&lt;=Species!$H26),"H",""))&amp;IF(Species!$I26=2,"S","")</f>
        <v>H</v>
      </c>
      <c r="E26" s="153" t="str">
        <f aca="false">IF(Species!$G26&lt;=Species!$H26,IF(AND(3&gt;=Species!$G26,3&lt;=Species!$H26),"H",""),IF(OR(3&gt;=Species!$G26,3&lt;=Species!$H26),"H",""))&amp;IF(Species!$I26=3,"S","")</f>
        <v>H</v>
      </c>
      <c r="F26" s="153" t="str">
        <f aca="false">IF(Species!$G26&lt;=Species!$H26,IF(AND(4&gt;=Species!$G26,4&lt;=Species!$H26),"H",""),IF(OR(4&gt;=Species!$G26,4&lt;=Species!$H26),"H",""))&amp;IF(Species!$I26=4,"S","")</f>
        <v/>
      </c>
      <c r="G26" s="153" t="str">
        <f aca="false">IF(Species!$G26&lt;=Species!$H26,IF(AND(5&gt;=Species!$G26,5&lt;=Species!$H26),"H",""),IF(OR(5&gt;=Species!$G26,5&lt;=Species!$H26),"H",""))&amp;IF(Species!$I26=5,"S","")</f>
        <v/>
      </c>
      <c r="H26" s="153" t="str">
        <f aca="false">IF(Species!$G26&lt;=Species!$H26,IF(AND(6&gt;=Species!$G26,6&lt;=Species!$H26),"H",""),IF(OR(6&gt;=Species!$G26,6&lt;=Species!$H26),"H",""))&amp;IF(Species!$I26=6,"S","")</f>
        <v/>
      </c>
      <c r="I26" s="153" t="str">
        <f aca="false">IF(Species!$G26&lt;=Species!$H26,IF(AND(7&gt;=Species!$G26,7&lt;=Species!$H26),"H",""),IF(OR(7&gt;=Species!$G26,7&lt;=Species!$H26),"H",""))&amp;IF(Species!$I26=7,"S","")</f>
        <v/>
      </c>
      <c r="J26" s="153" t="str">
        <f aca="false">IF(Species!$G26&lt;=Species!$H26,IF(AND(8&gt;=Species!$G26,8&lt;=Species!$H26),"H",""),IF(OR(8&gt;=Species!$G26,8&lt;=Species!$H26),"H",""))&amp;IF(Species!$I26=8,"S","")</f>
        <v/>
      </c>
      <c r="K26" s="153" t="str">
        <f aca="false">IF(Species!$G26&lt;=Species!$H26,IF(AND(9&gt;=Species!$G26,9&lt;=Species!$H26),"H",""),IF(OR(9&gt;=Species!$G26,9&lt;=Species!$H26),"H",""))&amp;IF(Species!$I26=9,"S","")</f>
        <v/>
      </c>
      <c r="L26" s="153" t="str">
        <f aca="false">IF(Species!$G26&lt;=Species!$H26,IF(AND(10&gt;=Species!$G26,10&lt;=Species!$H26),"H",""),IF(OR(10&gt;=Species!$G26,10&lt;=Species!$H26),"H",""))&amp;IF(Species!$I26=10,"S","")</f>
        <v/>
      </c>
      <c r="M26" s="153" t="str">
        <f aca="false">IF(Species!$G26&lt;=Species!$H26,IF(AND(11&gt;=Species!$G26,11&lt;=Species!$H26),"H",""),IF(OR(11&gt;=Species!$G26,11&lt;=Species!$H26),"H",""))&amp;IF(Species!$I26=11,"S","")</f>
        <v/>
      </c>
      <c r="N26" s="153" t="str">
        <f aca="false">IF(Species!$G26&lt;=Species!$H26,IF(AND(12&gt;=Species!$G26,12&lt;=Species!$H26),"H",""),IF(OR(12&gt;=Species!$G26,12&lt;=Species!$H26),"H",""))&amp;IF(Species!$I26=12,"S","")</f>
        <v/>
      </c>
    </row>
    <row r="27" customFormat="false" ht="15" hidden="false" customHeight="false" outlineLevel="0" collapsed="false">
      <c r="A27" s="6" t="str">
        <f aca="false">Species!B27</f>
        <v>Box Elder Sap</v>
      </c>
      <c r="B27" s="6" t="str">
        <f aca="false">Species!F27</f>
        <v>Sap</v>
      </c>
      <c r="C27" s="153" t="str">
        <f aca="false">IF(Species!$G27&lt;=Species!$H27,IF(AND(1&gt;=Species!$G27,1&lt;=Species!$H27),"H",""),IF(OR(1&gt;=Species!$G27,1&lt;=Species!$H27),"H",""))&amp;IF(Species!$I27=1,"S","")</f>
        <v/>
      </c>
      <c r="D27" s="153" t="str">
        <f aca="false">IF(Species!$G27&lt;=Species!$H27,IF(AND(2&gt;=Species!$G27,2&lt;=Species!$H27),"H",""),IF(OR(2&gt;=Species!$G27,2&lt;=Species!$H27),"H",""))&amp;IF(Species!$I27=2,"S","")</f>
        <v>H</v>
      </c>
      <c r="E27" s="153" t="str">
        <f aca="false">IF(Species!$G27&lt;=Species!$H27,IF(AND(3&gt;=Species!$G27,3&lt;=Species!$H27),"H",""),IF(OR(3&gt;=Species!$G27,3&lt;=Species!$H27),"H",""))&amp;IF(Species!$I27=3,"S","")</f>
        <v>H</v>
      </c>
      <c r="F27" s="153" t="str">
        <f aca="false">IF(Species!$G27&lt;=Species!$H27,IF(AND(4&gt;=Species!$G27,4&lt;=Species!$H27),"H",""),IF(OR(4&gt;=Species!$G27,4&lt;=Species!$H27),"H",""))&amp;IF(Species!$I27=4,"S","")</f>
        <v/>
      </c>
      <c r="G27" s="153" t="str">
        <f aca="false">IF(Species!$G27&lt;=Species!$H27,IF(AND(5&gt;=Species!$G27,5&lt;=Species!$H27),"H",""),IF(OR(5&gt;=Species!$G27,5&lt;=Species!$H27),"H",""))&amp;IF(Species!$I27=5,"S","")</f>
        <v/>
      </c>
      <c r="H27" s="153" t="str">
        <f aca="false">IF(Species!$G27&lt;=Species!$H27,IF(AND(6&gt;=Species!$G27,6&lt;=Species!$H27),"H",""),IF(OR(6&gt;=Species!$G27,6&lt;=Species!$H27),"H",""))&amp;IF(Species!$I27=6,"S","")</f>
        <v/>
      </c>
      <c r="I27" s="153" t="str">
        <f aca="false">IF(Species!$G27&lt;=Species!$H27,IF(AND(7&gt;=Species!$G27,7&lt;=Species!$H27),"H",""),IF(OR(7&gt;=Species!$G27,7&lt;=Species!$H27),"H",""))&amp;IF(Species!$I27=7,"S","")</f>
        <v/>
      </c>
      <c r="J27" s="153" t="str">
        <f aca="false">IF(Species!$G27&lt;=Species!$H27,IF(AND(8&gt;=Species!$G27,8&lt;=Species!$H27),"H",""),IF(OR(8&gt;=Species!$G27,8&lt;=Species!$H27),"H",""))&amp;IF(Species!$I27=8,"S","")</f>
        <v/>
      </c>
      <c r="K27" s="153" t="str">
        <f aca="false">IF(Species!$G27&lt;=Species!$H27,IF(AND(9&gt;=Species!$G27,9&lt;=Species!$H27),"H",""),IF(OR(9&gt;=Species!$G27,9&lt;=Species!$H27),"H",""))&amp;IF(Species!$I27=9,"S","")</f>
        <v/>
      </c>
      <c r="L27" s="153" t="str">
        <f aca="false">IF(Species!$G27&lt;=Species!$H27,IF(AND(10&gt;=Species!$G27,10&lt;=Species!$H27),"H",""),IF(OR(10&gt;=Species!$G27,10&lt;=Species!$H27),"H",""))&amp;IF(Species!$I27=10,"S","")</f>
        <v/>
      </c>
      <c r="M27" s="153" t="str">
        <f aca="false">IF(Species!$G27&lt;=Species!$H27,IF(AND(11&gt;=Species!$G27,11&lt;=Species!$H27),"H",""),IF(OR(11&gt;=Species!$G27,11&lt;=Species!$H27),"H",""))&amp;IF(Species!$I27=11,"S","")</f>
        <v/>
      </c>
      <c r="N27" s="153" t="str">
        <f aca="false">IF(Species!$G27&lt;=Species!$H27,IF(AND(12&gt;=Species!$G27,12&lt;=Species!$H27),"H",""),IF(OR(12&gt;=Species!$G27,12&lt;=Species!$H27),"H",""))&amp;IF(Species!$I27=12,"S","")</f>
        <v/>
      </c>
    </row>
    <row r="28" customFormat="false" ht="15" hidden="false" customHeight="false" outlineLevel="0" collapsed="false">
      <c r="A28" s="6" t="str">
        <f aca="false">Species!B28</f>
        <v>Cattail Rhizome</v>
      </c>
      <c r="B28" s="6" t="str">
        <f aca="false">Species!F28</f>
        <v>Rhizome</v>
      </c>
      <c r="C28" s="153" t="str">
        <f aca="false">IF(Species!$G28&lt;=Species!$H28,IF(AND(1&gt;=Species!$G28,1&lt;=Species!$H28),"H",""),IF(OR(1&gt;=Species!$G28,1&lt;=Species!$H28),"H",""))&amp;IF(Species!$I28=1,"S","")</f>
        <v>H</v>
      </c>
      <c r="D28" s="153" t="str">
        <f aca="false">IF(Species!$G28&lt;=Species!$H28,IF(AND(2&gt;=Species!$G28,2&lt;=Species!$H28),"H",""),IF(OR(2&gt;=Species!$G28,2&lt;=Species!$H28),"H",""))&amp;IF(Species!$I28=2,"S","")</f>
        <v>H</v>
      </c>
      <c r="E28" s="153" t="str">
        <f aca="false">IF(Species!$G28&lt;=Species!$H28,IF(AND(3&gt;=Species!$G28,3&lt;=Species!$H28),"H",""),IF(OR(3&gt;=Species!$G28,3&lt;=Species!$H28),"H",""))&amp;IF(Species!$I28=3,"S","")</f>
        <v>H</v>
      </c>
      <c r="F28" s="153" t="str">
        <f aca="false">IF(Species!$G28&lt;=Species!$H28,IF(AND(4&gt;=Species!$G28,4&lt;=Species!$H28),"H",""),IF(OR(4&gt;=Species!$G28,4&lt;=Species!$H28),"H",""))&amp;IF(Species!$I28=4,"S","")</f>
        <v/>
      </c>
      <c r="G28" s="153" t="str">
        <f aca="false">IF(Species!$G28&lt;=Species!$H28,IF(AND(5&gt;=Species!$G28,5&lt;=Species!$H28),"H",""),IF(OR(5&gt;=Species!$G28,5&lt;=Species!$H28),"H",""))&amp;IF(Species!$I28=5,"S","")</f>
        <v/>
      </c>
      <c r="H28" s="153" t="str">
        <f aca="false">IF(Species!$G28&lt;=Species!$H28,IF(AND(6&gt;=Species!$G28,6&lt;=Species!$H28),"H",""),IF(OR(6&gt;=Species!$G28,6&lt;=Species!$H28),"H",""))&amp;IF(Species!$I28=6,"S","")</f>
        <v/>
      </c>
      <c r="I28" s="153" t="str">
        <f aca="false">IF(Species!$G28&lt;=Species!$H28,IF(AND(7&gt;=Species!$G28,7&lt;=Species!$H28),"H",""),IF(OR(7&gt;=Species!$G28,7&lt;=Species!$H28),"H",""))&amp;IF(Species!$I28=7,"S","")</f>
        <v/>
      </c>
      <c r="J28" s="153" t="str">
        <f aca="false">IF(Species!$G28&lt;=Species!$H28,IF(AND(8&gt;=Species!$G28,8&lt;=Species!$H28),"H",""),IF(OR(8&gt;=Species!$G28,8&lt;=Species!$H28),"H",""))&amp;IF(Species!$I28=8,"S","")</f>
        <v>S</v>
      </c>
      <c r="K28" s="153" t="str">
        <f aca="false">IF(Species!$G28&lt;=Species!$H28,IF(AND(9&gt;=Species!$G28,9&lt;=Species!$H28),"H",""),IF(OR(9&gt;=Species!$G28,9&lt;=Species!$H28),"H",""))&amp;IF(Species!$I28=9,"S","")</f>
        <v/>
      </c>
      <c r="L28" s="153" t="str">
        <f aca="false">IF(Species!$G28&lt;=Species!$H28,IF(AND(10&gt;=Species!$G28,10&lt;=Species!$H28),"H",""),IF(OR(10&gt;=Species!$G28,10&lt;=Species!$H28),"H",""))&amp;IF(Species!$I28=10,"S","")</f>
        <v>H</v>
      </c>
      <c r="M28" s="153" t="str">
        <f aca="false">IF(Species!$G28&lt;=Species!$H28,IF(AND(11&gt;=Species!$G28,11&lt;=Species!$H28),"H",""),IF(OR(11&gt;=Species!$G28,11&lt;=Species!$H28),"H",""))&amp;IF(Species!$I28=11,"S","")</f>
        <v>H</v>
      </c>
      <c r="N28" s="153" t="str">
        <f aca="false">IF(Species!$G28&lt;=Species!$H28,IF(AND(12&gt;=Species!$G28,12&lt;=Species!$H28),"H",""),IF(OR(12&gt;=Species!$G28,12&lt;=Species!$H28),"H",""))&amp;IF(Species!$I28=12,"S","")</f>
        <v>H</v>
      </c>
    </row>
    <row r="29" customFormat="false" ht="15" hidden="false" customHeight="false" outlineLevel="0" collapsed="false">
      <c r="A29" s="6" t="str">
        <f aca="false">Species!B29</f>
        <v>Cattail Pollen</v>
      </c>
      <c r="B29" s="6" t="str">
        <f aca="false">Species!F29</f>
        <v>Flower</v>
      </c>
      <c r="C29" s="153" t="str">
        <f aca="false">IF(Species!$G29&lt;=Species!$H29,IF(AND(1&gt;=Species!$G29,1&lt;=Species!$H29),"H",""),IF(OR(1&gt;=Species!$G29,1&lt;=Species!$H29),"H",""))&amp;IF(Species!$I29=1,"S","")</f>
        <v/>
      </c>
      <c r="D29" s="153" t="str">
        <f aca="false">IF(Species!$G29&lt;=Species!$H29,IF(AND(2&gt;=Species!$G29,2&lt;=Species!$H29),"H",""),IF(OR(2&gt;=Species!$G29,2&lt;=Species!$H29),"H",""))&amp;IF(Species!$I29=2,"S","")</f>
        <v/>
      </c>
      <c r="E29" s="153" t="str">
        <f aca="false">IF(Species!$G29&lt;=Species!$H29,IF(AND(3&gt;=Species!$G29,3&lt;=Species!$H29),"H",""),IF(OR(3&gt;=Species!$G29,3&lt;=Species!$H29),"H",""))&amp;IF(Species!$I29=3,"S","")</f>
        <v/>
      </c>
      <c r="F29" s="153" t="str">
        <f aca="false">IF(Species!$G29&lt;=Species!$H29,IF(AND(4&gt;=Species!$G29,4&lt;=Species!$H29),"H",""),IF(OR(4&gt;=Species!$G29,4&lt;=Species!$H29),"H",""))&amp;IF(Species!$I29=4,"S","")</f>
        <v/>
      </c>
      <c r="G29" s="153" t="str">
        <f aca="false">IF(Species!$G29&lt;=Species!$H29,IF(AND(5&gt;=Species!$G29,5&lt;=Species!$H29),"H",""),IF(OR(5&gt;=Species!$G29,5&lt;=Species!$H29),"H",""))&amp;IF(Species!$I29=5,"S","")</f>
        <v/>
      </c>
      <c r="H29" s="153" t="str">
        <f aca="false">IF(Species!$G29&lt;=Species!$H29,IF(AND(6&gt;=Species!$G29,6&lt;=Species!$H29),"H",""),IF(OR(6&gt;=Species!$G29,6&lt;=Species!$H29),"H",""))&amp;IF(Species!$I29=6,"S","")</f>
        <v>H</v>
      </c>
      <c r="I29" s="153" t="str">
        <f aca="false">IF(Species!$G29&lt;=Species!$H29,IF(AND(7&gt;=Species!$G29,7&lt;=Species!$H29),"H",""),IF(OR(7&gt;=Species!$G29,7&lt;=Species!$H29),"H",""))&amp;IF(Species!$I29=7,"S","")</f>
        <v/>
      </c>
      <c r="J29" s="153" t="str">
        <f aca="false">IF(Species!$G29&lt;=Species!$H29,IF(AND(8&gt;=Species!$G29,8&lt;=Species!$H29),"H",""),IF(OR(8&gt;=Species!$G29,8&lt;=Species!$H29),"H",""))&amp;IF(Species!$I29=8,"S","")</f>
        <v/>
      </c>
      <c r="K29" s="153" t="str">
        <f aca="false">IF(Species!$G29&lt;=Species!$H29,IF(AND(9&gt;=Species!$G29,9&lt;=Species!$H29),"H",""),IF(OR(9&gt;=Species!$G29,9&lt;=Species!$H29),"H",""))&amp;IF(Species!$I29=9,"S","")</f>
        <v/>
      </c>
      <c r="L29" s="153" t="str">
        <f aca="false">IF(Species!$G29&lt;=Species!$H29,IF(AND(10&gt;=Species!$G29,10&lt;=Species!$H29),"H",""),IF(OR(10&gt;=Species!$G29,10&lt;=Species!$H29),"H",""))&amp;IF(Species!$I29=10,"S","")</f>
        <v/>
      </c>
      <c r="M29" s="153" t="str">
        <f aca="false">IF(Species!$G29&lt;=Species!$H29,IF(AND(11&gt;=Species!$G29,11&lt;=Species!$H29),"H",""),IF(OR(11&gt;=Species!$G29,11&lt;=Species!$H29),"H",""))&amp;IF(Species!$I29=11,"S","")</f>
        <v/>
      </c>
      <c r="N29" s="153" t="str">
        <f aca="false">IF(Species!$G29&lt;=Species!$H29,IF(AND(12&gt;=Species!$G29,12&lt;=Species!$H29),"H",""),IF(OR(12&gt;=Species!$G29,12&lt;=Species!$H29),"H",""))&amp;IF(Species!$I29=12,"S","")</f>
        <v/>
      </c>
    </row>
    <row r="30" customFormat="false" ht="15" hidden="false" customHeight="false" outlineLevel="0" collapsed="false">
      <c r="A30" s="6" t="str">
        <f aca="false">Species!B30</f>
        <v>Broadleaf Arrowhead</v>
      </c>
      <c r="B30" s="6" t="str">
        <f aca="false">Species!F30</f>
        <v>Rhizome</v>
      </c>
      <c r="C30" s="153" t="str">
        <f aca="false">IF(Species!$G30&lt;=Species!$H30,IF(AND(1&gt;=Species!$G30,1&lt;=Species!$H30),"H",""),IF(OR(1&gt;=Species!$G30,1&lt;=Species!$H30),"H",""))&amp;IF(Species!$I30=1,"S","")</f>
        <v/>
      </c>
      <c r="D30" s="153" t="str">
        <f aca="false">IF(Species!$G30&lt;=Species!$H30,IF(AND(2&gt;=Species!$G30,2&lt;=Species!$H30),"H",""),IF(OR(2&gt;=Species!$G30,2&lt;=Species!$H30),"H",""))&amp;IF(Species!$I30=2,"S","")</f>
        <v/>
      </c>
      <c r="E30" s="153" t="str">
        <f aca="false">IF(Species!$G30&lt;=Species!$H30,IF(AND(3&gt;=Species!$G30,3&lt;=Species!$H30),"H",""),IF(OR(3&gt;=Species!$G30,3&lt;=Species!$H30),"H",""))&amp;IF(Species!$I30=3,"S","")</f>
        <v/>
      </c>
      <c r="F30" s="153" t="str">
        <f aca="false">IF(Species!$G30&lt;=Species!$H30,IF(AND(4&gt;=Species!$G30,4&lt;=Species!$H30),"H",""),IF(OR(4&gt;=Species!$G30,4&lt;=Species!$H30),"H",""))&amp;IF(Species!$I30=4,"S","")</f>
        <v/>
      </c>
      <c r="G30" s="153" t="str">
        <f aca="false">IF(Species!$G30&lt;=Species!$H30,IF(AND(5&gt;=Species!$G30,5&lt;=Species!$H30),"H",""),IF(OR(5&gt;=Species!$G30,5&lt;=Species!$H30),"H",""))&amp;IF(Species!$I30=5,"S","")</f>
        <v/>
      </c>
      <c r="H30" s="153" t="str">
        <f aca="false">IF(Species!$G30&lt;=Species!$H30,IF(AND(6&gt;=Species!$G30,6&lt;=Species!$H30),"H",""),IF(OR(6&gt;=Species!$G30,6&lt;=Species!$H30),"H",""))&amp;IF(Species!$I30=6,"S","")</f>
        <v/>
      </c>
      <c r="I30" s="153" t="str">
        <f aca="false">IF(Species!$G30&lt;=Species!$H30,IF(AND(7&gt;=Species!$G30,7&lt;=Species!$H30),"H",""),IF(OR(7&gt;=Species!$G30,7&lt;=Species!$H30),"H",""))&amp;IF(Species!$I30=7,"S","")</f>
        <v/>
      </c>
      <c r="J30" s="153" t="str">
        <f aca="false">IF(Species!$G30&lt;=Species!$H30,IF(AND(8&gt;=Species!$G30,8&lt;=Species!$H30),"H",""),IF(OR(8&gt;=Species!$G30,8&lt;=Species!$H30),"H",""))&amp;IF(Species!$I30=8,"S","")</f>
        <v/>
      </c>
      <c r="K30" s="153" t="str">
        <f aca="false">IF(Species!$G30&lt;=Species!$H30,IF(AND(9&gt;=Species!$G30,9&lt;=Species!$H30),"H",""),IF(OR(9&gt;=Species!$G30,9&lt;=Species!$H30),"H",""))&amp;IF(Species!$I30=9,"S","")</f>
        <v>HS</v>
      </c>
      <c r="L30" s="153" t="str">
        <f aca="false">IF(Species!$G30&lt;=Species!$H30,IF(AND(10&gt;=Species!$G30,10&lt;=Species!$H30),"H",""),IF(OR(10&gt;=Species!$G30,10&lt;=Species!$H30),"H",""))&amp;IF(Species!$I30=10,"S","")</f>
        <v>H</v>
      </c>
      <c r="M30" s="153" t="str">
        <f aca="false">IF(Species!$G30&lt;=Species!$H30,IF(AND(11&gt;=Species!$G30,11&lt;=Species!$H30),"H",""),IF(OR(11&gt;=Species!$G30,11&lt;=Species!$H30),"H",""))&amp;IF(Species!$I30=11,"S","")</f>
        <v>H</v>
      </c>
      <c r="N30" s="153" t="str">
        <f aca="false">IF(Species!$G30&lt;=Species!$H30,IF(AND(12&gt;=Species!$G30,12&lt;=Species!$H30),"H",""),IF(OR(12&gt;=Species!$G30,12&lt;=Species!$H30),"H",""))&amp;IF(Species!$I30=12,"S","")</f>
        <v/>
      </c>
    </row>
    <row r="31" customFormat="false" ht="15" hidden="false" customHeight="false" outlineLevel="0" collapsed="false">
      <c r="A31" s="6" t="str">
        <f aca="false">Species!B31</f>
        <v>Wild Rice</v>
      </c>
      <c r="B31" s="6" t="str">
        <f aca="false">Species!F31</f>
        <v>Seed</v>
      </c>
      <c r="C31" s="153" t="str">
        <f aca="false">IF(Species!$G31&lt;=Species!$H31,IF(AND(1&gt;=Species!$G31,1&lt;=Species!$H31),"H",""),IF(OR(1&gt;=Species!$G31,1&lt;=Species!$H31),"H",""))&amp;IF(Species!$I31=1,"S","")</f>
        <v/>
      </c>
      <c r="D31" s="153" t="str">
        <f aca="false">IF(Species!$G31&lt;=Species!$H31,IF(AND(2&gt;=Species!$G31,2&lt;=Species!$H31),"H",""),IF(OR(2&gt;=Species!$G31,2&lt;=Species!$H31),"H",""))&amp;IF(Species!$I31=2,"S","")</f>
        <v/>
      </c>
      <c r="E31" s="153" t="str">
        <f aca="false">IF(Species!$G31&lt;=Species!$H31,IF(AND(3&gt;=Species!$G31,3&lt;=Species!$H31),"H",""),IF(OR(3&gt;=Species!$G31,3&lt;=Species!$H31),"H",""))&amp;IF(Species!$I31=3,"S","")</f>
        <v/>
      </c>
      <c r="F31" s="153" t="str">
        <f aca="false">IF(Species!$G31&lt;=Species!$H31,IF(AND(4&gt;=Species!$G31,4&lt;=Species!$H31),"H",""),IF(OR(4&gt;=Species!$G31,4&lt;=Species!$H31),"H",""))&amp;IF(Species!$I31=4,"S","")</f>
        <v/>
      </c>
      <c r="G31" s="153" t="str">
        <f aca="false">IF(Species!$G31&lt;=Species!$H31,IF(AND(5&gt;=Species!$G31,5&lt;=Species!$H31),"H",""),IF(OR(5&gt;=Species!$G31,5&lt;=Species!$H31),"H",""))&amp;IF(Species!$I31=5,"S","")</f>
        <v/>
      </c>
      <c r="H31" s="153" t="str">
        <f aca="false">IF(Species!$G31&lt;=Species!$H31,IF(AND(6&gt;=Species!$G31,6&lt;=Species!$H31),"H",""),IF(OR(6&gt;=Species!$G31,6&lt;=Species!$H31),"H",""))&amp;IF(Species!$I31=6,"S","")</f>
        <v/>
      </c>
      <c r="I31" s="153" t="str">
        <f aca="false">IF(Species!$G31&lt;=Species!$H31,IF(AND(7&gt;=Species!$G31,7&lt;=Species!$H31),"H",""),IF(OR(7&gt;=Species!$G31,7&lt;=Species!$H31),"H",""))&amp;IF(Species!$I31=7,"S","")</f>
        <v/>
      </c>
      <c r="J31" s="153" t="str">
        <f aca="false">IF(Species!$G31&lt;=Species!$H31,IF(AND(8&gt;=Species!$G31,8&lt;=Species!$H31),"H",""),IF(OR(8&gt;=Species!$G31,8&lt;=Species!$H31),"H",""))&amp;IF(Species!$I31=8,"S","")</f>
        <v>H</v>
      </c>
      <c r="K31" s="153" t="str">
        <f aca="false">IF(Species!$G31&lt;=Species!$H31,IF(AND(9&gt;=Species!$G31,9&lt;=Species!$H31),"H",""),IF(OR(9&gt;=Species!$G31,9&lt;=Species!$H31),"H",""))&amp;IF(Species!$I31=9,"S","")</f>
        <v>HS</v>
      </c>
      <c r="L31" s="153" t="str">
        <f aca="false">IF(Species!$G31&lt;=Species!$H31,IF(AND(10&gt;=Species!$G31,10&lt;=Species!$H31),"H",""),IF(OR(10&gt;=Species!$G31,10&lt;=Species!$H31),"H",""))&amp;IF(Species!$I31=10,"S","")</f>
        <v/>
      </c>
      <c r="M31" s="153" t="str">
        <f aca="false">IF(Species!$G31&lt;=Species!$H31,IF(AND(11&gt;=Species!$G31,11&lt;=Species!$H31),"H",""),IF(OR(11&gt;=Species!$G31,11&lt;=Species!$H31),"H",""))&amp;IF(Species!$I31=11,"S","")</f>
        <v/>
      </c>
      <c r="N31" s="153" t="str">
        <f aca="false">IF(Species!$G31&lt;=Species!$H31,IF(AND(12&gt;=Species!$G31,12&lt;=Species!$H31),"H",""),IF(OR(12&gt;=Species!$G31,12&lt;=Species!$H31),"H",""))&amp;IF(Species!$I31=12,"S","")</f>
        <v/>
      </c>
    </row>
    <row r="32" customFormat="false" ht="15" hidden="false" customHeight="false" outlineLevel="0" collapsed="false">
      <c r="A32" s="6" t="str">
        <f aca="false">Species!B32</f>
        <v>Pickerelweed</v>
      </c>
      <c r="B32" s="6" t="str">
        <f aca="false">Species!F32</f>
        <v>Seed</v>
      </c>
      <c r="C32" s="153" t="str">
        <f aca="false">IF(Species!$G32&lt;=Species!$H32,IF(AND(1&gt;=Species!$G32,1&lt;=Species!$H32),"H",""),IF(OR(1&gt;=Species!$G32,1&lt;=Species!$H32),"H",""))&amp;IF(Species!$I32=1,"S","")</f>
        <v/>
      </c>
      <c r="D32" s="153" t="str">
        <f aca="false">IF(Species!$G32&lt;=Species!$H32,IF(AND(2&gt;=Species!$G32,2&lt;=Species!$H32),"H",""),IF(OR(2&gt;=Species!$G32,2&lt;=Species!$H32),"H",""))&amp;IF(Species!$I32=2,"S","")</f>
        <v/>
      </c>
      <c r="E32" s="153" t="str">
        <f aca="false">IF(Species!$G32&lt;=Species!$H32,IF(AND(3&gt;=Species!$G32,3&lt;=Species!$H32),"H",""),IF(OR(3&gt;=Species!$G32,3&lt;=Species!$H32),"H",""))&amp;IF(Species!$I32=3,"S","")</f>
        <v/>
      </c>
      <c r="F32" s="153" t="str">
        <f aca="false">IF(Species!$G32&lt;=Species!$H32,IF(AND(4&gt;=Species!$G32,4&lt;=Species!$H32),"H",""),IF(OR(4&gt;=Species!$G32,4&lt;=Species!$H32),"H",""))&amp;IF(Species!$I32=4,"S","")</f>
        <v/>
      </c>
      <c r="G32" s="153" t="str">
        <f aca="false">IF(Species!$G32&lt;=Species!$H32,IF(AND(5&gt;=Species!$G32,5&lt;=Species!$H32),"H",""),IF(OR(5&gt;=Species!$G32,5&lt;=Species!$H32),"H",""))&amp;IF(Species!$I32=5,"S","")</f>
        <v/>
      </c>
      <c r="H32" s="153" t="str">
        <f aca="false">IF(Species!$G32&lt;=Species!$H32,IF(AND(6&gt;=Species!$G32,6&lt;=Species!$H32),"H",""),IF(OR(6&gt;=Species!$G32,6&lt;=Species!$H32),"H",""))&amp;IF(Species!$I32=6,"S","")</f>
        <v/>
      </c>
      <c r="I32" s="153" t="str">
        <f aca="false">IF(Species!$G32&lt;=Species!$H32,IF(AND(7&gt;=Species!$G32,7&lt;=Species!$H32),"H",""),IF(OR(7&gt;=Species!$G32,7&lt;=Species!$H32),"H",""))&amp;IF(Species!$I32=7,"S","")</f>
        <v/>
      </c>
      <c r="J32" s="153" t="str">
        <f aca="false">IF(Species!$G32&lt;=Species!$H32,IF(AND(8&gt;=Species!$G32,8&lt;=Species!$H32),"H",""),IF(OR(8&gt;=Species!$G32,8&lt;=Species!$H32),"H",""))&amp;IF(Species!$I32=8,"S","")</f>
        <v>H</v>
      </c>
      <c r="K32" s="153" t="str">
        <f aca="false">IF(Species!$G32&lt;=Species!$H32,IF(AND(9&gt;=Species!$G32,9&lt;=Species!$H32),"H",""),IF(OR(9&gt;=Species!$G32,9&lt;=Species!$H32),"H",""))&amp;IF(Species!$I32=9,"S","")</f>
        <v>HS</v>
      </c>
      <c r="L32" s="153" t="str">
        <f aca="false">IF(Species!$G32&lt;=Species!$H32,IF(AND(10&gt;=Species!$G32,10&lt;=Species!$H32),"H",""),IF(OR(10&gt;=Species!$G32,10&lt;=Species!$H32),"H",""))&amp;IF(Species!$I32=10,"S","")</f>
        <v>H</v>
      </c>
      <c r="M32" s="153" t="str">
        <f aca="false">IF(Species!$G32&lt;=Species!$H32,IF(AND(11&gt;=Species!$G32,11&lt;=Species!$H32),"H",""),IF(OR(11&gt;=Species!$G32,11&lt;=Species!$H32),"H",""))&amp;IF(Species!$I32=11,"S","")</f>
        <v/>
      </c>
      <c r="N32" s="153" t="str">
        <f aca="false">IF(Species!$G32&lt;=Species!$H32,IF(AND(12&gt;=Species!$G32,12&lt;=Species!$H32),"H",""),IF(OR(12&gt;=Species!$G32,12&lt;=Species!$H32),"H",""))&amp;IF(Species!$I32=12,"S","")</f>
        <v/>
      </c>
    </row>
    <row r="33" customFormat="false" ht="15" hidden="false" customHeight="false" outlineLevel="0" collapsed="false">
      <c r="A33" s="6" t="str">
        <f aca="false">Species!B33</f>
        <v>Sweetflag</v>
      </c>
      <c r="B33" s="6" t="str">
        <f aca="false">Species!F33</f>
        <v>Rhizome</v>
      </c>
      <c r="C33" s="153" t="str">
        <f aca="false">IF(Species!$G33&lt;=Species!$H33,IF(AND(1&gt;=Species!$G33,1&lt;=Species!$H33),"H",""),IF(OR(1&gt;=Species!$G33,1&lt;=Species!$H33),"H",""))&amp;IF(Species!$I33=1,"S","")</f>
        <v/>
      </c>
      <c r="D33" s="153" t="str">
        <f aca="false">IF(Species!$G33&lt;=Species!$H33,IF(AND(2&gt;=Species!$G33,2&lt;=Species!$H33),"H",""),IF(OR(2&gt;=Species!$G33,2&lt;=Species!$H33),"H",""))&amp;IF(Species!$I33=2,"S","")</f>
        <v/>
      </c>
      <c r="E33" s="153" t="str">
        <f aca="false">IF(Species!$G33&lt;=Species!$H33,IF(AND(3&gt;=Species!$G33,3&lt;=Species!$H33),"H",""),IF(OR(3&gt;=Species!$G33,3&lt;=Species!$H33),"H",""))&amp;IF(Species!$I33=3,"S","")</f>
        <v/>
      </c>
      <c r="F33" s="153" t="str">
        <f aca="false">IF(Species!$G33&lt;=Species!$H33,IF(AND(4&gt;=Species!$G33,4&lt;=Species!$H33),"H",""),IF(OR(4&gt;=Species!$G33,4&lt;=Species!$H33),"H",""))&amp;IF(Species!$I33=4,"S","")</f>
        <v>H</v>
      </c>
      <c r="G33" s="153" t="str">
        <f aca="false">IF(Species!$G33&lt;=Species!$H33,IF(AND(5&gt;=Species!$G33,5&lt;=Species!$H33),"H",""),IF(OR(5&gt;=Species!$G33,5&lt;=Species!$H33),"H",""))&amp;IF(Species!$I33=5,"S","")</f>
        <v>H</v>
      </c>
      <c r="H33" s="153" t="str">
        <f aca="false">IF(Species!$G33&lt;=Species!$H33,IF(AND(6&gt;=Species!$G33,6&lt;=Species!$H33),"H",""),IF(OR(6&gt;=Species!$G33,6&lt;=Species!$H33),"H",""))&amp;IF(Species!$I33=6,"S","")</f>
        <v>H</v>
      </c>
      <c r="I33" s="153" t="str">
        <f aca="false">IF(Species!$G33&lt;=Species!$H33,IF(AND(7&gt;=Species!$G33,7&lt;=Species!$H33),"H",""),IF(OR(7&gt;=Species!$G33,7&lt;=Species!$H33),"H",""))&amp;IF(Species!$I33=7,"S","")</f>
        <v>H</v>
      </c>
      <c r="J33" s="153" t="str">
        <f aca="false">IF(Species!$G33&lt;=Species!$H33,IF(AND(8&gt;=Species!$G33,8&lt;=Species!$H33),"H",""),IF(OR(8&gt;=Species!$G33,8&lt;=Species!$H33),"H",""))&amp;IF(Species!$I33=8,"S","")</f>
        <v>H</v>
      </c>
      <c r="K33" s="153" t="str">
        <f aca="false">IF(Species!$G33&lt;=Species!$H33,IF(AND(9&gt;=Species!$G33,9&lt;=Species!$H33),"H",""),IF(OR(9&gt;=Species!$G33,9&lt;=Species!$H33),"H",""))&amp;IF(Species!$I33=9,"S","")</f>
        <v>H</v>
      </c>
      <c r="L33" s="153" t="str">
        <f aca="false">IF(Species!$G33&lt;=Species!$H33,IF(AND(10&gt;=Species!$G33,10&lt;=Species!$H33),"H",""),IF(OR(10&gt;=Species!$G33,10&lt;=Species!$H33),"H",""))&amp;IF(Species!$I33=10,"S","")</f>
        <v>H</v>
      </c>
      <c r="M33" s="153" t="str">
        <f aca="false">IF(Species!$G33&lt;=Species!$H33,IF(AND(11&gt;=Species!$G33,11&lt;=Species!$H33),"H",""),IF(OR(11&gt;=Species!$G33,11&lt;=Species!$H33),"H",""))&amp;IF(Species!$I33=11,"S","")</f>
        <v/>
      </c>
      <c r="N33" s="153" t="str">
        <f aca="false">IF(Species!$G33&lt;=Species!$H33,IF(AND(12&gt;=Species!$G33,12&lt;=Species!$H33),"H",""),IF(OR(12&gt;=Species!$G33,12&lt;=Species!$H33),"H",""))&amp;IF(Species!$I33=12,"S","")</f>
        <v/>
      </c>
    </row>
    <row r="34" customFormat="false" ht="15" hidden="false" customHeight="false" outlineLevel="0" collapsed="false">
      <c r="A34" s="6" t="str">
        <f aca="false">Species!B34</f>
        <v>Duckweed</v>
      </c>
      <c r="B34" s="6" t="str">
        <f aca="false">Species!F34</f>
        <v>Whole</v>
      </c>
      <c r="C34" s="153" t="str">
        <f aca="false">IF(Species!$G34&lt;=Species!$H34,IF(AND(1&gt;=Species!$G34,1&lt;=Species!$H34),"H",""),IF(OR(1&gt;=Species!$G34,1&lt;=Species!$H34),"H",""))&amp;IF(Species!$I34=1,"S","")</f>
        <v/>
      </c>
      <c r="D34" s="153" t="str">
        <f aca="false">IF(Species!$G34&lt;=Species!$H34,IF(AND(2&gt;=Species!$G34,2&lt;=Species!$H34),"H",""),IF(OR(2&gt;=Species!$G34,2&lt;=Species!$H34),"H",""))&amp;IF(Species!$I34=2,"S","")</f>
        <v/>
      </c>
      <c r="E34" s="153" t="str">
        <f aca="false">IF(Species!$G34&lt;=Species!$H34,IF(AND(3&gt;=Species!$G34,3&lt;=Species!$H34),"H",""),IF(OR(3&gt;=Species!$G34,3&lt;=Species!$H34),"H",""))&amp;IF(Species!$I34=3,"S","")</f>
        <v/>
      </c>
      <c r="F34" s="153" t="str">
        <f aca="false">IF(Species!$G34&lt;=Species!$H34,IF(AND(4&gt;=Species!$G34,4&lt;=Species!$H34),"H",""),IF(OR(4&gt;=Species!$G34,4&lt;=Species!$H34),"H",""))&amp;IF(Species!$I34=4,"S","")</f>
        <v/>
      </c>
      <c r="G34" s="153" t="str">
        <f aca="false">IF(Species!$G34&lt;=Species!$H34,IF(AND(5&gt;=Species!$G34,5&lt;=Species!$H34),"H",""),IF(OR(5&gt;=Species!$G34,5&lt;=Species!$H34),"H",""))&amp;IF(Species!$I34=5,"S","")</f>
        <v>H</v>
      </c>
      <c r="H34" s="153" t="str">
        <f aca="false">IF(Species!$G34&lt;=Species!$H34,IF(AND(6&gt;=Species!$G34,6&lt;=Species!$H34),"H",""),IF(OR(6&gt;=Species!$G34,6&lt;=Species!$H34),"H",""))&amp;IF(Species!$I34=6,"S","")</f>
        <v>H</v>
      </c>
      <c r="I34" s="153" t="str">
        <f aca="false">IF(Species!$G34&lt;=Species!$H34,IF(AND(7&gt;=Species!$G34,7&lt;=Species!$H34),"H",""),IF(OR(7&gt;=Species!$G34,7&lt;=Species!$H34),"H",""))&amp;IF(Species!$I34=7,"S","")</f>
        <v>H</v>
      </c>
      <c r="J34" s="153" t="str">
        <f aca="false">IF(Species!$G34&lt;=Species!$H34,IF(AND(8&gt;=Species!$G34,8&lt;=Species!$H34),"H",""),IF(OR(8&gt;=Species!$G34,8&lt;=Species!$H34),"H",""))&amp;IF(Species!$I34=8,"S","")</f>
        <v>H</v>
      </c>
      <c r="K34" s="153" t="str">
        <f aca="false">IF(Species!$G34&lt;=Species!$H34,IF(AND(9&gt;=Species!$G34,9&lt;=Species!$H34),"H",""),IF(OR(9&gt;=Species!$G34,9&lt;=Species!$H34),"H",""))&amp;IF(Species!$I34=9,"S","")</f>
        <v>H</v>
      </c>
      <c r="L34" s="153" t="str">
        <f aca="false">IF(Species!$G34&lt;=Species!$H34,IF(AND(10&gt;=Species!$G34,10&lt;=Species!$H34),"H",""),IF(OR(10&gt;=Species!$G34,10&lt;=Species!$H34),"H",""))&amp;IF(Species!$I34=10,"S","")</f>
        <v/>
      </c>
      <c r="M34" s="153" t="str">
        <f aca="false">IF(Species!$G34&lt;=Species!$H34,IF(AND(11&gt;=Species!$G34,11&lt;=Species!$H34),"H",""),IF(OR(11&gt;=Species!$G34,11&lt;=Species!$H34),"H",""))&amp;IF(Species!$I34=11,"S","")</f>
        <v/>
      </c>
      <c r="N34" s="153" t="str">
        <f aca="false">IF(Species!$G34&lt;=Species!$H34,IF(AND(12&gt;=Species!$G34,12&lt;=Species!$H34),"H",""),IF(OR(12&gt;=Species!$G34,12&lt;=Species!$H34),"H",""))&amp;IF(Species!$I34=12,"S","")</f>
        <v/>
      </c>
    </row>
    <row r="35" customFormat="false" ht="15" hidden="false" customHeight="false" outlineLevel="0" collapsed="false">
      <c r="A35" s="6" t="str">
        <f aca="false">Species!B35</f>
        <v>Common Reed</v>
      </c>
      <c r="B35" s="6" t="str">
        <f aca="false">Species!F35</f>
        <v>Root</v>
      </c>
      <c r="C35" s="153" t="str">
        <f aca="false">IF(Species!$G35&lt;=Species!$H35,IF(AND(1&gt;=Species!$G35,1&lt;=Species!$H35),"H",""),IF(OR(1&gt;=Species!$G35,1&lt;=Species!$H35),"H",""))&amp;IF(Species!$I35=1,"S","")</f>
        <v/>
      </c>
      <c r="D35" s="153" t="str">
        <f aca="false">IF(Species!$G35&lt;=Species!$H35,IF(AND(2&gt;=Species!$G35,2&lt;=Species!$H35),"H",""),IF(OR(2&gt;=Species!$G35,2&lt;=Species!$H35),"H",""))&amp;IF(Species!$I35=2,"S","")</f>
        <v/>
      </c>
      <c r="E35" s="153" t="str">
        <f aca="false">IF(Species!$G35&lt;=Species!$H35,IF(AND(3&gt;=Species!$G35,3&lt;=Species!$H35),"H",""),IF(OR(3&gt;=Species!$G35,3&lt;=Species!$H35),"H",""))&amp;IF(Species!$I35=3,"S","")</f>
        <v>H</v>
      </c>
      <c r="F35" s="153" t="str">
        <f aca="false">IF(Species!$G35&lt;=Species!$H35,IF(AND(4&gt;=Species!$G35,4&lt;=Species!$H35),"H",""),IF(OR(4&gt;=Species!$G35,4&lt;=Species!$H35),"H",""))&amp;IF(Species!$I35=4,"S","")</f>
        <v>H</v>
      </c>
      <c r="G35" s="153" t="str">
        <f aca="false">IF(Species!$G35&lt;=Species!$H35,IF(AND(5&gt;=Species!$G35,5&lt;=Species!$H35),"H",""),IF(OR(5&gt;=Species!$G35,5&lt;=Species!$H35),"H",""))&amp;IF(Species!$I35=5,"S","")</f>
        <v>H</v>
      </c>
      <c r="H35" s="153" t="str">
        <f aca="false">IF(Species!$G35&lt;=Species!$H35,IF(AND(6&gt;=Species!$G35,6&lt;=Species!$H35),"H",""),IF(OR(6&gt;=Species!$G35,6&lt;=Species!$H35),"H",""))&amp;IF(Species!$I35=6,"S","")</f>
        <v>H</v>
      </c>
      <c r="I35" s="153" t="str">
        <f aca="false">IF(Species!$G35&lt;=Species!$H35,IF(AND(7&gt;=Species!$G35,7&lt;=Species!$H35),"H",""),IF(OR(7&gt;=Species!$G35,7&lt;=Species!$H35),"H",""))&amp;IF(Species!$I35=7,"S","")</f>
        <v>H</v>
      </c>
      <c r="J35" s="153" t="str">
        <f aca="false">IF(Species!$G35&lt;=Species!$H35,IF(AND(8&gt;=Species!$G35,8&lt;=Species!$H35),"H",""),IF(OR(8&gt;=Species!$G35,8&lt;=Species!$H35),"H",""))&amp;IF(Species!$I35=8,"S","")</f>
        <v>H</v>
      </c>
      <c r="K35" s="153" t="str">
        <f aca="false">IF(Species!$G35&lt;=Species!$H35,IF(AND(9&gt;=Species!$G35,9&lt;=Species!$H35),"H",""),IF(OR(9&gt;=Species!$G35,9&lt;=Species!$H35),"H",""))&amp;IF(Species!$I35=9,"S","")</f>
        <v>H</v>
      </c>
      <c r="L35" s="153" t="str">
        <f aca="false">IF(Species!$G35&lt;=Species!$H35,IF(AND(10&gt;=Species!$G35,10&lt;=Species!$H35),"H",""),IF(OR(10&gt;=Species!$G35,10&lt;=Species!$H35),"H",""))&amp;IF(Species!$I35=10,"S","")</f>
        <v>HS</v>
      </c>
      <c r="M35" s="153" t="str">
        <f aca="false">IF(Species!$G35&lt;=Species!$H35,IF(AND(11&gt;=Species!$G35,11&lt;=Species!$H35),"H",""),IF(OR(11&gt;=Species!$G35,11&lt;=Species!$H35),"H",""))&amp;IF(Species!$I35=11,"S","")</f>
        <v/>
      </c>
      <c r="N35" s="153" t="str">
        <f aca="false">IF(Species!$G35&lt;=Species!$H35,IF(AND(12&gt;=Species!$G35,12&lt;=Species!$H35),"H",""),IF(OR(12&gt;=Species!$G35,12&lt;=Species!$H35),"H",""))&amp;IF(Species!$I35=12,"S","")</f>
        <v/>
      </c>
    </row>
    <row r="36" customFormat="false" ht="15" hidden="false" customHeight="false" outlineLevel="0" collapsed="false">
      <c r="A36" s="6" t="str">
        <f aca="false">Species!B36</f>
        <v>Field Horsetail</v>
      </c>
      <c r="B36" s="6" t="str">
        <f aca="false">Species!F36</f>
        <v>Whole</v>
      </c>
      <c r="C36" s="153" t="str">
        <f aca="false">IF(Species!$G36&lt;=Species!$H36,IF(AND(1&gt;=Species!$G36,1&lt;=Species!$H36),"H",""),IF(OR(1&gt;=Species!$G36,1&lt;=Species!$H36),"H",""))&amp;IF(Species!$I36=1,"S","")</f>
        <v/>
      </c>
      <c r="D36" s="153" t="str">
        <f aca="false">IF(Species!$G36&lt;=Species!$H36,IF(AND(2&gt;=Species!$G36,2&lt;=Species!$H36),"H",""),IF(OR(2&gt;=Species!$G36,2&lt;=Species!$H36),"H",""))&amp;IF(Species!$I36=2,"S","")</f>
        <v/>
      </c>
      <c r="E36" s="153" t="str">
        <f aca="false">IF(Species!$G36&lt;=Species!$H36,IF(AND(3&gt;=Species!$G36,3&lt;=Species!$H36),"H",""),IF(OR(3&gt;=Species!$G36,3&lt;=Species!$H36),"H",""))&amp;IF(Species!$I36=3,"S","")</f>
        <v/>
      </c>
      <c r="F36" s="153" t="str">
        <f aca="false">IF(Species!$G36&lt;=Species!$H36,IF(AND(4&gt;=Species!$G36,4&lt;=Species!$H36),"H",""),IF(OR(4&gt;=Species!$G36,4&lt;=Species!$H36),"H",""))&amp;IF(Species!$I36=4,"S","")</f>
        <v>H</v>
      </c>
      <c r="G36" s="153" t="str">
        <f aca="false">IF(Species!$G36&lt;=Species!$H36,IF(AND(5&gt;=Species!$G36,5&lt;=Species!$H36),"H",""),IF(OR(5&gt;=Species!$G36,5&lt;=Species!$H36),"H",""))&amp;IF(Species!$I36=5,"S","")</f>
        <v>H</v>
      </c>
      <c r="H36" s="153" t="str">
        <f aca="false">IF(Species!$G36&lt;=Species!$H36,IF(AND(6&gt;=Species!$G36,6&lt;=Species!$H36),"H",""),IF(OR(6&gt;=Species!$G36,6&lt;=Species!$H36),"H",""))&amp;IF(Species!$I36=6,"S","")</f>
        <v>H</v>
      </c>
      <c r="I36" s="153" t="str">
        <f aca="false">IF(Species!$G36&lt;=Species!$H36,IF(AND(7&gt;=Species!$G36,7&lt;=Species!$H36),"H",""),IF(OR(7&gt;=Species!$G36,7&lt;=Species!$H36),"H",""))&amp;IF(Species!$I36=7,"S","")</f>
        <v>H</v>
      </c>
      <c r="J36" s="153" t="str">
        <f aca="false">IF(Species!$G36&lt;=Species!$H36,IF(AND(8&gt;=Species!$G36,8&lt;=Species!$H36),"H",""),IF(OR(8&gt;=Species!$G36,8&lt;=Species!$H36),"H",""))&amp;IF(Species!$I36=8,"S","")</f>
        <v/>
      </c>
      <c r="K36" s="153" t="str">
        <f aca="false">IF(Species!$G36&lt;=Species!$H36,IF(AND(9&gt;=Species!$G36,9&lt;=Species!$H36),"H",""),IF(OR(9&gt;=Species!$G36,9&lt;=Species!$H36),"H",""))&amp;IF(Species!$I36=9,"S","")</f>
        <v/>
      </c>
      <c r="L36" s="153" t="str">
        <f aca="false">IF(Species!$G36&lt;=Species!$H36,IF(AND(10&gt;=Species!$G36,10&lt;=Species!$H36),"H",""),IF(OR(10&gt;=Species!$G36,10&lt;=Species!$H36),"H",""))&amp;IF(Species!$I36=10,"S","")</f>
        <v/>
      </c>
      <c r="M36" s="153" t="str">
        <f aca="false">IF(Species!$G36&lt;=Species!$H36,IF(AND(11&gt;=Species!$G36,11&lt;=Species!$H36),"H",""),IF(OR(11&gt;=Species!$G36,11&lt;=Species!$H36),"H",""))&amp;IF(Species!$I36=11,"S","")</f>
        <v/>
      </c>
      <c r="N36" s="153" t="str">
        <f aca="false">IF(Species!$G36&lt;=Species!$H36,IF(AND(12&gt;=Species!$G36,12&lt;=Species!$H36),"H",""),IF(OR(12&gt;=Species!$G36,12&lt;=Species!$H36),"H",""))&amp;IF(Species!$I36=12,"S","")</f>
        <v/>
      </c>
    </row>
    <row r="37" customFormat="false" ht="15" hidden="false" customHeight="false" outlineLevel="0" collapsed="false">
      <c r="A37" s="6" t="str">
        <f aca="false">Species!B37</f>
        <v>Scouring Rush</v>
      </c>
      <c r="B37" s="6" t="str">
        <f aca="false">Species!F37</f>
        <v>Whole</v>
      </c>
      <c r="C37" s="153" t="str">
        <f aca="false">IF(Species!$G37&lt;=Species!$H37,IF(AND(1&gt;=Species!$G37,1&lt;=Species!$H37),"H",""),IF(OR(1&gt;=Species!$G37,1&lt;=Species!$H37),"H",""))&amp;IF(Species!$I37=1,"S","")</f>
        <v>H</v>
      </c>
      <c r="D37" s="153" t="str">
        <f aca="false">IF(Species!$G37&lt;=Species!$H37,IF(AND(2&gt;=Species!$G37,2&lt;=Species!$H37),"H",""),IF(OR(2&gt;=Species!$G37,2&lt;=Species!$H37),"H",""))&amp;IF(Species!$I37=2,"S","")</f>
        <v>H</v>
      </c>
      <c r="E37" s="153" t="str">
        <f aca="false">IF(Species!$G37&lt;=Species!$H37,IF(AND(3&gt;=Species!$G37,3&lt;=Species!$H37),"H",""),IF(OR(3&gt;=Species!$G37,3&lt;=Species!$H37),"H",""))&amp;IF(Species!$I37=3,"S","")</f>
        <v>H</v>
      </c>
      <c r="F37" s="153" t="str">
        <f aca="false">IF(Species!$G37&lt;=Species!$H37,IF(AND(4&gt;=Species!$G37,4&lt;=Species!$H37),"H",""),IF(OR(4&gt;=Species!$G37,4&lt;=Species!$H37),"H",""))&amp;IF(Species!$I37=4,"S","")</f>
        <v>H</v>
      </c>
      <c r="G37" s="153" t="str">
        <f aca="false">IF(Species!$G37&lt;=Species!$H37,IF(AND(5&gt;=Species!$G37,5&lt;=Species!$H37),"H",""),IF(OR(5&gt;=Species!$G37,5&lt;=Species!$H37),"H",""))&amp;IF(Species!$I37=5,"S","")</f>
        <v>H</v>
      </c>
      <c r="H37" s="153" t="str">
        <f aca="false">IF(Species!$G37&lt;=Species!$H37,IF(AND(6&gt;=Species!$G37,6&lt;=Species!$H37),"H",""),IF(OR(6&gt;=Species!$G37,6&lt;=Species!$H37),"H",""))&amp;IF(Species!$I37=6,"S","")</f>
        <v>H</v>
      </c>
      <c r="I37" s="153" t="str">
        <f aca="false">IF(Species!$G37&lt;=Species!$H37,IF(AND(7&gt;=Species!$G37,7&lt;=Species!$H37),"H",""),IF(OR(7&gt;=Species!$G37,7&lt;=Species!$H37),"H",""))&amp;IF(Species!$I37=7,"S","")</f>
        <v>H</v>
      </c>
      <c r="J37" s="153" t="str">
        <f aca="false">IF(Species!$G37&lt;=Species!$H37,IF(AND(8&gt;=Species!$G37,8&lt;=Species!$H37),"H",""),IF(OR(8&gt;=Species!$G37,8&lt;=Species!$H37),"H",""))&amp;IF(Species!$I37=8,"S","")</f>
        <v>H</v>
      </c>
      <c r="K37" s="153" t="str">
        <f aca="false">IF(Species!$G37&lt;=Species!$H37,IF(AND(9&gt;=Species!$G37,9&lt;=Species!$H37),"H",""),IF(OR(9&gt;=Species!$G37,9&lt;=Species!$H37),"H",""))&amp;IF(Species!$I37=9,"S","")</f>
        <v>H</v>
      </c>
      <c r="L37" s="153" t="str">
        <f aca="false">IF(Species!$G37&lt;=Species!$H37,IF(AND(10&gt;=Species!$G37,10&lt;=Species!$H37),"H",""),IF(OR(10&gt;=Species!$G37,10&lt;=Species!$H37),"H",""))&amp;IF(Species!$I37=10,"S","")</f>
        <v>H</v>
      </c>
      <c r="M37" s="153" t="str">
        <f aca="false">IF(Species!$G37&lt;=Species!$H37,IF(AND(11&gt;=Species!$G37,11&lt;=Species!$H37),"H",""),IF(OR(11&gt;=Species!$G37,11&lt;=Species!$H37),"H",""))&amp;IF(Species!$I37=11,"S","")</f>
        <v>H</v>
      </c>
      <c r="N37" s="153" t="str">
        <f aca="false">IF(Species!$G37&lt;=Species!$H37,IF(AND(12&gt;=Species!$G37,12&lt;=Species!$H37),"H",""),IF(OR(12&gt;=Species!$G37,12&lt;=Species!$H37),"H",""))&amp;IF(Species!$I37=12,"S","")</f>
        <v>H</v>
      </c>
    </row>
    <row r="38" customFormat="false" ht="15" hidden="false" customHeight="false" outlineLevel="0" collapsed="false">
      <c r="A38" s="6" t="str">
        <f aca="false">Species!B38</f>
        <v>Jewelweed</v>
      </c>
      <c r="B38" s="6" t="str">
        <f aca="false">Species!F38</f>
        <v>Whole</v>
      </c>
      <c r="C38" s="153" t="str">
        <f aca="false">IF(Species!$G38&lt;=Species!$H38,IF(AND(1&gt;=Species!$G38,1&lt;=Species!$H38),"H",""),IF(OR(1&gt;=Species!$G38,1&lt;=Species!$H38),"H",""))&amp;IF(Species!$I38=1,"S","")</f>
        <v/>
      </c>
      <c r="D38" s="153" t="str">
        <f aca="false">IF(Species!$G38&lt;=Species!$H38,IF(AND(2&gt;=Species!$G38,2&lt;=Species!$H38),"H",""),IF(OR(2&gt;=Species!$G38,2&lt;=Species!$H38),"H",""))&amp;IF(Species!$I38=2,"S","")</f>
        <v/>
      </c>
      <c r="E38" s="153" t="str">
        <f aca="false">IF(Species!$G38&lt;=Species!$H38,IF(AND(3&gt;=Species!$G38,3&lt;=Species!$H38),"H",""),IF(OR(3&gt;=Species!$G38,3&lt;=Species!$H38),"H",""))&amp;IF(Species!$I38=3,"S","")</f>
        <v/>
      </c>
      <c r="F38" s="153" t="str">
        <f aca="false">IF(Species!$G38&lt;=Species!$H38,IF(AND(4&gt;=Species!$G38,4&lt;=Species!$H38),"H",""),IF(OR(4&gt;=Species!$G38,4&lt;=Species!$H38),"H",""))&amp;IF(Species!$I38=4,"S","")</f>
        <v/>
      </c>
      <c r="G38" s="153" t="str">
        <f aca="false">IF(Species!$G38&lt;=Species!$H38,IF(AND(5&gt;=Species!$G38,5&lt;=Species!$H38),"H",""),IF(OR(5&gt;=Species!$G38,5&lt;=Species!$H38),"H",""))&amp;IF(Species!$I38=5,"S","")</f>
        <v/>
      </c>
      <c r="H38" s="153" t="str">
        <f aca="false">IF(Species!$G38&lt;=Species!$H38,IF(AND(6&gt;=Species!$G38,6&lt;=Species!$H38),"H",""),IF(OR(6&gt;=Species!$G38,6&lt;=Species!$H38),"H",""))&amp;IF(Species!$I38=6,"S","")</f>
        <v>H</v>
      </c>
      <c r="I38" s="153" t="str">
        <f aca="false">IF(Species!$G38&lt;=Species!$H38,IF(AND(7&gt;=Species!$G38,7&lt;=Species!$H38),"H",""),IF(OR(7&gt;=Species!$G38,7&lt;=Species!$H38),"H",""))&amp;IF(Species!$I38=7,"S","")</f>
        <v>H</v>
      </c>
      <c r="J38" s="153" t="str">
        <f aca="false">IF(Species!$G38&lt;=Species!$H38,IF(AND(8&gt;=Species!$G38,8&lt;=Species!$H38),"H",""),IF(OR(8&gt;=Species!$G38,8&lt;=Species!$H38),"H",""))&amp;IF(Species!$I38=8,"S","")</f>
        <v>H</v>
      </c>
      <c r="K38" s="153" t="str">
        <f aca="false">IF(Species!$G38&lt;=Species!$H38,IF(AND(9&gt;=Species!$G38,9&lt;=Species!$H38),"H",""),IF(OR(9&gt;=Species!$G38,9&lt;=Species!$H38),"H",""))&amp;IF(Species!$I38=9,"S","")</f>
        <v>HS</v>
      </c>
      <c r="L38" s="153" t="str">
        <f aca="false">IF(Species!$G38&lt;=Species!$H38,IF(AND(10&gt;=Species!$G38,10&lt;=Species!$H38),"H",""),IF(OR(10&gt;=Species!$G38,10&lt;=Species!$H38),"H",""))&amp;IF(Species!$I38=10,"S","")</f>
        <v/>
      </c>
      <c r="M38" s="153" t="str">
        <f aca="false">IF(Species!$G38&lt;=Species!$H38,IF(AND(11&gt;=Species!$G38,11&lt;=Species!$H38),"H",""),IF(OR(11&gt;=Species!$G38,11&lt;=Species!$H38),"H",""))&amp;IF(Species!$I38=11,"S","")</f>
        <v/>
      </c>
      <c r="N38" s="153" t="str">
        <f aca="false">IF(Species!$G38&lt;=Species!$H38,IF(AND(12&gt;=Species!$G38,12&lt;=Species!$H38),"H",""),IF(OR(12&gt;=Species!$G38,12&lt;=Species!$H38),"H",""))&amp;IF(Species!$I38=12,"S","")</f>
        <v/>
      </c>
    </row>
    <row r="39" customFormat="false" ht="15" hidden="false" customHeight="false" outlineLevel="0" collapsed="false">
      <c r="A39" s="6" t="str">
        <f aca="false">Species!B39</f>
        <v>Stinging Nettle</v>
      </c>
      <c r="B39" s="6" t="str">
        <f aca="false">Species!F39</f>
        <v>Leaf</v>
      </c>
      <c r="C39" s="153" t="str">
        <f aca="false">IF(Species!$G39&lt;=Species!$H39,IF(AND(1&gt;=Species!$G39,1&lt;=Species!$H39),"H",""),IF(OR(1&gt;=Species!$G39,1&lt;=Species!$H39),"H",""))&amp;IF(Species!$I39=1,"S","")</f>
        <v/>
      </c>
      <c r="D39" s="153" t="str">
        <f aca="false">IF(Species!$G39&lt;=Species!$H39,IF(AND(2&gt;=Species!$G39,2&lt;=Species!$H39),"H",""),IF(OR(2&gt;=Species!$G39,2&lt;=Species!$H39),"H",""))&amp;IF(Species!$I39=2,"S","")</f>
        <v/>
      </c>
      <c r="E39" s="153" t="str">
        <f aca="false">IF(Species!$G39&lt;=Species!$H39,IF(AND(3&gt;=Species!$G39,3&lt;=Species!$H39),"H",""),IF(OR(3&gt;=Species!$G39,3&lt;=Species!$H39),"H",""))&amp;IF(Species!$I39=3,"S","")</f>
        <v/>
      </c>
      <c r="F39" s="153" t="str">
        <f aca="false">IF(Species!$G39&lt;=Species!$H39,IF(AND(4&gt;=Species!$G39,4&lt;=Species!$H39),"H",""),IF(OR(4&gt;=Species!$G39,4&lt;=Species!$H39),"H",""))&amp;IF(Species!$I39=4,"S","")</f>
        <v>H</v>
      </c>
      <c r="G39" s="153" t="str">
        <f aca="false">IF(Species!$G39&lt;=Species!$H39,IF(AND(5&gt;=Species!$G39,5&lt;=Species!$H39),"H",""),IF(OR(5&gt;=Species!$G39,5&lt;=Species!$H39),"H",""))&amp;IF(Species!$I39=5,"S","")</f>
        <v>H</v>
      </c>
      <c r="H39" s="153" t="str">
        <f aca="false">IF(Species!$G39&lt;=Species!$H39,IF(AND(6&gt;=Species!$G39,6&lt;=Species!$H39),"H",""),IF(OR(6&gt;=Species!$G39,6&lt;=Species!$H39),"H",""))&amp;IF(Species!$I39=6,"S","")</f>
        <v>H</v>
      </c>
      <c r="I39" s="153" t="str">
        <f aca="false">IF(Species!$G39&lt;=Species!$H39,IF(AND(7&gt;=Species!$G39,7&lt;=Species!$H39),"H",""),IF(OR(7&gt;=Species!$G39,7&lt;=Species!$H39),"H",""))&amp;IF(Species!$I39=7,"S","")</f>
        <v/>
      </c>
      <c r="J39" s="153" t="str">
        <f aca="false">IF(Species!$G39&lt;=Species!$H39,IF(AND(8&gt;=Species!$G39,8&lt;=Species!$H39),"H",""),IF(OR(8&gt;=Species!$G39,8&lt;=Species!$H39),"H",""))&amp;IF(Species!$I39=8,"S","")</f>
        <v>S</v>
      </c>
      <c r="K39" s="153" t="str">
        <f aca="false">IF(Species!$G39&lt;=Species!$H39,IF(AND(9&gt;=Species!$G39,9&lt;=Species!$H39),"H",""),IF(OR(9&gt;=Species!$G39,9&lt;=Species!$H39),"H",""))&amp;IF(Species!$I39=9,"S","")</f>
        <v/>
      </c>
      <c r="L39" s="153" t="str">
        <f aca="false">IF(Species!$G39&lt;=Species!$H39,IF(AND(10&gt;=Species!$G39,10&lt;=Species!$H39),"H",""),IF(OR(10&gt;=Species!$G39,10&lt;=Species!$H39),"H",""))&amp;IF(Species!$I39=10,"S","")</f>
        <v/>
      </c>
      <c r="M39" s="153" t="str">
        <f aca="false">IF(Species!$G39&lt;=Species!$H39,IF(AND(11&gt;=Species!$G39,11&lt;=Species!$H39),"H",""),IF(OR(11&gt;=Species!$G39,11&lt;=Species!$H39),"H",""))&amp;IF(Species!$I39=11,"S","")</f>
        <v/>
      </c>
      <c r="N39" s="153" t="str">
        <f aca="false">IF(Species!$G39&lt;=Species!$H39,IF(AND(12&gt;=Species!$G39,12&lt;=Species!$H39),"H",""),IF(OR(12&gt;=Species!$G39,12&lt;=Species!$H39),"H",""))&amp;IF(Species!$I39=12,"S","")</f>
        <v/>
      </c>
    </row>
    <row r="40" customFormat="false" ht="15" hidden="false" customHeight="false" outlineLevel="0" collapsed="false">
      <c r="A40" s="6" t="str">
        <f aca="false">Species!B40</f>
        <v>Wood Nettle</v>
      </c>
      <c r="B40" s="6" t="str">
        <f aca="false">Species!F40</f>
        <v>Leaf</v>
      </c>
      <c r="C40" s="153" t="str">
        <f aca="false">IF(Species!$G40&lt;=Species!$H40,IF(AND(1&gt;=Species!$G40,1&lt;=Species!$H40),"H",""),IF(OR(1&gt;=Species!$G40,1&lt;=Species!$H40),"H",""))&amp;IF(Species!$I40=1,"S","")</f>
        <v/>
      </c>
      <c r="D40" s="153" t="str">
        <f aca="false">IF(Species!$G40&lt;=Species!$H40,IF(AND(2&gt;=Species!$G40,2&lt;=Species!$H40),"H",""),IF(OR(2&gt;=Species!$G40,2&lt;=Species!$H40),"H",""))&amp;IF(Species!$I40=2,"S","")</f>
        <v/>
      </c>
      <c r="E40" s="153" t="str">
        <f aca="false">IF(Species!$G40&lt;=Species!$H40,IF(AND(3&gt;=Species!$G40,3&lt;=Species!$H40),"H",""),IF(OR(3&gt;=Species!$G40,3&lt;=Species!$H40),"H",""))&amp;IF(Species!$I40=3,"S","")</f>
        <v/>
      </c>
      <c r="F40" s="153" t="str">
        <f aca="false">IF(Species!$G40&lt;=Species!$H40,IF(AND(4&gt;=Species!$G40,4&lt;=Species!$H40),"H",""),IF(OR(4&gt;=Species!$G40,4&lt;=Species!$H40),"H",""))&amp;IF(Species!$I40=4,"S","")</f>
        <v>H</v>
      </c>
      <c r="G40" s="153" t="str">
        <f aca="false">IF(Species!$G40&lt;=Species!$H40,IF(AND(5&gt;=Species!$G40,5&lt;=Species!$H40),"H",""),IF(OR(5&gt;=Species!$G40,5&lt;=Species!$H40),"H",""))&amp;IF(Species!$I40=5,"S","")</f>
        <v>H</v>
      </c>
      <c r="H40" s="153" t="str">
        <f aca="false">IF(Species!$G40&lt;=Species!$H40,IF(AND(6&gt;=Species!$G40,6&lt;=Species!$H40),"H",""),IF(OR(6&gt;=Species!$G40,6&lt;=Species!$H40),"H",""))&amp;IF(Species!$I40=6,"S","")</f>
        <v>H</v>
      </c>
      <c r="I40" s="153" t="str">
        <f aca="false">IF(Species!$G40&lt;=Species!$H40,IF(AND(7&gt;=Species!$G40,7&lt;=Species!$H40),"H",""),IF(OR(7&gt;=Species!$G40,7&lt;=Species!$H40),"H",""))&amp;IF(Species!$I40=7,"S","")</f>
        <v/>
      </c>
      <c r="J40" s="153" t="str">
        <f aca="false">IF(Species!$G40&lt;=Species!$H40,IF(AND(8&gt;=Species!$G40,8&lt;=Species!$H40),"H",""),IF(OR(8&gt;=Species!$G40,8&lt;=Species!$H40),"H",""))&amp;IF(Species!$I40=8,"S","")</f>
        <v>S</v>
      </c>
      <c r="K40" s="153" t="str">
        <f aca="false">IF(Species!$G40&lt;=Species!$H40,IF(AND(9&gt;=Species!$G40,9&lt;=Species!$H40),"H",""),IF(OR(9&gt;=Species!$G40,9&lt;=Species!$H40),"H",""))&amp;IF(Species!$I40=9,"S","")</f>
        <v/>
      </c>
      <c r="L40" s="153" t="str">
        <f aca="false">IF(Species!$G40&lt;=Species!$H40,IF(AND(10&gt;=Species!$G40,10&lt;=Species!$H40),"H",""),IF(OR(10&gt;=Species!$G40,10&lt;=Species!$H40),"H",""))&amp;IF(Species!$I40=10,"S","")</f>
        <v/>
      </c>
      <c r="M40" s="153" t="str">
        <f aca="false">IF(Species!$G40&lt;=Species!$H40,IF(AND(11&gt;=Species!$G40,11&lt;=Species!$H40),"H",""),IF(OR(11&gt;=Species!$G40,11&lt;=Species!$H40),"H",""))&amp;IF(Species!$I40=11,"S","")</f>
        <v/>
      </c>
      <c r="N40" s="153" t="str">
        <f aca="false">IF(Species!$G40&lt;=Species!$H40,IF(AND(12&gt;=Species!$G40,12&lt;=Species!$H40),"H",""),IF(OR(12&gt;=Species!$G40,12&lt;=Species!$H40),"H",""))&amp;IF(Species!$I40=12,"S","")</f>
        <v/>
      </c>
    </row>
    <row r="41" customFormat="false" ht="15" hidden="false" customHeight="false" outlineLevel="0" collapsed="false">
      <c r="A41" s="6" t="str">
        <f aca="false">Species!B41</f>
        <v>Burdock</v>
      </c>
      <c r="B41" s="6" t="str">
        <f aca="false">Species!F41</f>
        <v>Root</v>
      </c>
      <c r="C41" s="153" t="str">
        <f aca="false">IF(Species!$G41&lt;=Species!$H41,IF(AND(1&gt;=Species!$G41,1&lt;=Species!$H41),"H",""),IF(OR(1&gt;=Species!$G41,1&lt;=Species!$H41),"H",""))&amp;IF(Species!$I41=1,"S","")</f>
        <v/>
      </c>
      <c r="D41" s="153" t="str">
        <f aca="false">IF(Species!$G41&lt;=Species!$H41,IF(AND(2&gt;=Species!$G41,2&lt;=Species!$H41),"H",""),IF(OR(2&gt;=Species!$G41,2&lt;=Species!$H41),"H",""))&amp;IF(Species!$I41=2,"S","")</f>
        <v/>
      </c>
      <c r="E41" s="153" t="str">
        <f aca="false">IF(Species!$G41&lt;=Species!$H41,IF(AND(3&gt;=Species!$G41,3&lt;=Species!$H41),"H",""),IF(OR(3&gt;=Species!$G41,3&lt;=Species!$H41),"H",""))&amp;IF(Species!$I41=3,"S","")</f>
        <v/>
      </c>
      <c r="F41" s="153" t="str">
        <f aca="false">IF(Species!$G41&lt;=Species!$H41,IF(AND(4&gt;=Species!$G41,4&lt;=Species!$H41),"H",""),IF(OR(4&gt;=Species!$G41,4&lt;=Species!$H41),"H",""))&amp;IF(Species!$I41=4,"S","")</f>
        <v/>
      </c>
      <c r="G41" s="153" t="str">
        <f aca="false">IF(Species!$G41&lt;=Species!$H41,IF(AND(5&gt;=Species!$G41,5&lt;=Species!$H41),"H",""),IF(OR(5&gt;=Species!$G41,5&lt;=Species!$H41),"H",""))&amp;IF(Species!$I41=5,"S","")</f>
        <v/>
      </c>
      <c r="H41" s="153" t="str">
        <f aca="false">IF(Species!$G41&lt;=Species!$H41,IF(AND(6&gt;=Species!$G41,6&lt;=Species!$H41),"H",""),IF(OR(6&gt;=Species!$G41,6&lt;=Species!$H41),"H",""))&amp;IF(Species!$I41=6,"S","")</f>
        <v/>
      </c>
      <c r="I41" s="153" t="str">
        <f aca="false">IF(Species!$G41&lt;=Species!$H41,IF(AND(7&gt;=Species!$G41,7&lt;=Species!$H41),"H",""),IF(OR(7&gt;=Species!$G41,7&lt;=Species!$H41),"H",""))&amp;IF(Species!$I41=7,"S","")</f>
        <v/>
      </c>
      <c r="J41" s="153" t="str">
        <f aca="false">IF(Species!$G41&lt;=Species!$H41,IF(AND(8&gt;=Species!$G41,8&lt;=Species!$H41),"H",""),IF(OR(8&gt;=Species!$G41,8&lt;=Species!$H41),"H",""))&amp;IF(Species!$I41=8,"S","")</f>
        <v/>
      </c>
      <c r="K41" s="153" t="str">
        <f aca="false">IF(Species!$G41&lt;=Species!$H41,IF(AND(9&gt;=Species!$G41,9&lt;=Species!$H41),"H",""),IF(OR(9&gt;=Species!$G41,9&lt;=Species!$H41),"H",""))&amp;IF(Species!$I41=9,"S","")</f>
        <v>HS</v>
      </c>
      <c r="L41" s="153" t="str">
        <f aca="false">IF(Species!$G41&lt;=Species!$H41,IF(AND(10&gt;=Species!$G41,10&lt;=Species!$H41),"H",""),IF(OR(10&gt;=Species!$G41,10&lt;=Species!$H41),"H",""))&amp;IF(Species!$I41=10,"S","")</f>
        <v>H</v>
      </c>
      <c r="M41" s="153" t="str">
        <f aca="false">IF(Species!$G41&lt;=Species!$H41,IF(AND(11&gt;=Species!$G41,11&lt;=Species!$H41),"H",""),IF(OR(11&gt;=Species!$G41,11&lt;=Species!$H41),"H",""))&amp;IF(Species!$I41=11,"S","")</f>
        <v>H</v>
      </c>
      <c r="N41" s="153" t="str">
        <f aca="false">IF(Species!$G41&lt;=Species!$H41,IF(AND(12&gt;=Species!$G41,12&lt;=Species!$H41),"H",""),IF(OR(12&gt;=Species!$G41,12&lt;=Species!$H41),"H",""))&amp;IF(Species!$I41=12,"S","")</f>
        <v/>
      </c>
    </row>
    <row r="42" customFormat="false" ht="15" hidden="false" customHeight="false" outlineLevel="0" collapsed="false">
      <c r="A42" s="6" t="str">
        <f aca="false">Species!B42</f>
        <v>Curly Dock Seed</v>
      </c>
      <c r="B42" s="6" t="str">
        <f aca="false">Species!F42</f>
        <v>Seed</v>
      </c>
      <c r="C42" s="153" t="str">
        <f aca="false">IF(Species!$G42&lt;=Species!$H42,IF(AND(1&gt;=Species!$G42,1&lt;=Species!$H42),"H",""),IF(OR(1&gt;=Species!$G42,1&lt;=Species!$H42),"H",""))&amp;IF(Species!$I42=1,"S","")</f>
        <v/>
      </c>
      <c r="D42" s="153" t="str">
        <f aca="false">IF(Species!$G42&lt;=Species!$H42,IF(AND(2&gt;=Species!$G42,2&lt;=Species!$H42),"H",""),IF(OR(2&gt;=Species!$G42,2&lt;=Species!$H42),"H",""))&amp;IF(Species!$I42=2,"S","")</f>
        <v/>
      </c>
      <c r="E42" s="153" t="str">
        <f aca="false">IF(Species!$G42&lt;=Species!$H42,IF(AND(3&gt;=Species!$G42,3&lt;=Species!$H42),"H",""),IF(OR(3&gt;=Species!$G42,3&lt;=Species!$H42),"H",""))&amp;IF(Species!$I42=3,"S","")</f>
        <v/>
      </c>
      <c r="F42" s="153" t="str">
        <f aca="false">IF(Species!$G42&lt;=Species!$H42,IF(AND(4&gt;=Species!$G42,4&lt;=Species!$H42),"H",""),IF(OR(4&gt;=Species!$G42,4&lt;=Species!$H42),"H",""))&amp;IF(Species!$I42=4,"S","")</f>
        <v/>
      </c>
      <c r="G42" s="153" t="str">
        <f aca="false">IF(Species!$G42&lt;=Species!$H42,IF(AND(5&gt;=Species!$G42,5&lt;=Species!$H42),"H",""),IF(OR(5&gt;=Species!$G42,5&lt;=Species!$H42),"H",""))&amp;IF(Species!$I42=5,"S","")</f>
        <v/>
      </c>
      <c r="H42" s="153" t="str">
        <f aca="false">IF(Species!$G42&lt;=Species!$H42,IF(AND(6&gt;=Species!$G42,6&lt;=Species!$H42),"H",""),IF(OR(6&gt;=Species!$G42,6&lt;=Species!$H42),"H",""))&amp;IF(Species!$I42=6,"S","")</f>
        <v/>
      </c>
      <c r="I42" s="153" t="str">
        <f aca="false">IF(Species!$G42&lt;=Species!$H42,IF(AND(7&gt;=Species!$G42,7&lt;=Species!$H42),"H",""),IF(OR(7&gt;=Species!$G42,7&lt;=Species!$H42),"H",""))&amp;IF(Species!$I42=7,"S","")</f>
        <v/>
      </c>
      <c r="J42" s="153" t="str">
        <f aca="false">IF(Species!$G42&lt;=Species!$H42,IF(AND(8&gt;=Species!$G42,8&lt;=Species!$H42),"H",""),IF(OR(8&gt;=Species!$G42,8&lt;=Species!$H42),"H",""))&amp;IF(Species!$I42=8,"S","")</f>
        <v>H</v>
      </c>
      <c r="K42" s="153" t="str">
        <f aca="false">IF(Species!$G42&lt;=Species!$H42,IF(AND(9&gt;=Species!$G42,9&lt;=Species!$H42),"H",""),IF(OR(9&gt;=Species!$G42,9&lt;=Species!$H42),"H",""))&amp;IF(Species!$I42=9,"S","")</f>
        <v>H</v>
      </c>
      <c r="L42" s="153" t="str">
        <f aca="false">IF(Species!$G42&lt;=Species!$H42,IF(AND(10&gt;=Species!$G42,10&lt;=Species!$H42),"H",""),IF(OR(10&gt;=Species!$G42,10&lt;=Species!$H42),"H",""))&amp;IF(Species!$I42=10,"S","")</f>
        <v>H</v>
      </c>
      <c r="M42" s="153" t="str">
        <f aca="false">IF(Species!$G42&lt;=Species!$H42,IF(AND(11&gt;=Species!$G42,11&lt;=Species!$H42),"H",""),IF(OR(11&gt;=Species!$G42,11&lt;=Species!$H42),"H",""))&amp;IF(Species!$I42=11,"S","")</f>
        <v/>
      </c>
      <c r="N42" s="153" t="str">
        <f aca="false">IF(Species!$G42&lt;=Species!$H42,IF(AND(12&gt;=Species!$G42,12&lt;=Species!$H42),"H",""),IF(OR(12&gt;=Species!$G42,12&lt;=Species!$H42),"H",""))&amp;IF(Species!$I42=12,"S","")</f>
        <v/>
      </c>
    </row>
    <row r="43" customFormat="false" ht="15" hidden="false" customHeight="false" outlineLevel="0" collapsed="false">
      <c r="A43" s="6" t="str">
        <f aca="false">Species!B43</f>
        <v>Pokeweed Root</v>
      </c>
      <c r="B43" s="6" t="str">
        <f aca="false">Species!F43</f>
        <v>Root</v>
      </c>
      <c r="C43" s="153" t="str">
        <f aca="false">IF(Species!$G43&lt;=Species!$H43,IF(AND(1&gt;=Species!$G43,1&lt;=Species!$H43),"H",""),IF(OR(1&gt;=Species!$G43,1&lt;=Species!$H43),"H",""))&amp;IF(Species!$I43=1,"S","")</f>
        <v/>
      </c>
      <c r="D43" s="153" t="str">
        <f aca="false">IF(Species!$G43&lt;=Species!$H43,IF(AND(2&gt;=Species!$G43,2&lt;=Species!$H43),"H",""),IF(OR(2&gt;=Species!$G43,2&lt;=Species!$H43),"H",""))&amp;IF(Species!$I43=2,"S","")</f>
        <v/>
      </c>
      <c r="E43" s="153" t="str">
        <f aca="false">IF(Species!$G43&lt;=Species!$H43,IF(AND(3&gt;=Species!$G43,3&lt;=Species!$H43),"H",""),IF(OR(3&gt;=Species!$G43,3&lt;=Species!$H43),"H",""))&amp;IF(Species!$I43=3,"S","")</f>
        <v/>
      </c>
      <c r="F43" s="153" t="str">
        <f aca="false">IF(Species!$G43&lt;=Species!$H43,IF(AND(4&gt;=Species!$G43,4&lt;=Species!$H43),"H",""),IF(OR(4&gt;=Species!$G43,4&lt;=Species!$H43),"H",""))&amp;IF(Species!$I43=4,"S","")</f>
        <v/>
      </c>
      <c r="G43" s="153" t="str">
        <f aca="false">IF(Species!$G43&lt;=Species!$H43,IF(AND(5&gt;=Species!$G43,5&lt;=Species!$H43),"H",""),IF(OR(5&gt;=Species!$G43,5&lt;=Species!$H43),"H",""))&amp;IF(Species!$I43=5,"S","")</f>
        <v/>
      </c>
      <c r="H43" s="153" t="str">
        <f aca="false">IF(Species!$G43&lt;=Species!$H43,IF(AND(6&gt;=Species!$G43,6&lt;=Species!$H43),"H",""),IF(OR(6&gt;=Species!$G43,6&lt;=Species!$H43),"H",""))&amp;IF(Species!$I43=6,"S","")</f>
        <v/>
      </c>
      <c r="I43" s="153" t="str">
        <f aca="false">IF(Species!$G43&lt;=Species!$H43,IF(AND(7&gt;=Species!$G43,7&lt;=Species!$H43),"H",""),IF(OR(7&gt;=Species!$G43,7&lt;=Species!$H43),"H",""))&amp;IF(Species!$I43=7,"S","")</f>
        <v/>
      </c>
      <c r="J43" s="153" t="str">
        <f aca="false">IF(Species!$G43&lt;=Species!$H43,IF(AND(8&gt;=Species!$G43,8&lt;=Species!$H43),"H",""),IF(OR(8&gt;=Species!$G43,8&lt;=Species!$H43),"H",""))&amp;IF(Species!$I43=8,"S","")</f>
        <v/>
      </c>
      <c r="K43" s="153" t="str">
        <f aca="false">IF(Species!$G43&lt;=Species!$H43,IF(AND(9&gt;=Species!$G43,9&lt;=Species!$H43),"H",""),IF(OR(9&gt;=Species!$G43,9&lt;=Species!$H43),"H",""))&amp;IF(Species!$I43=9,"S","")</f>
        <v>HS</v>
      </c>
      <c r="L43" s="153" t="str">
        <f aca="false">IF(Species!$G43&lt;=Species!$H43,IF(AND(10&gt;=Species!$G43,10&lt;=Species!$H43),"H",""),IF(OR(10&gt;=Species!$G43,10&lt;=Species!$H43),"H",""))&amp;IF(Species!$I43=10,"S","")</f>
        <v>H</v>
      </c>
      <c r="M43" s="153" t="str">
        <f aca="false">IF(Species!$G43&lt;=Species!$H43,IF(AND(11&gt;=Species!$G43,11&lt;=Species!$H43),"H",""),IF(OR(11&gt;=Species!$G43,11&lt;=Species!$H43),"H",""))&amp;IF(Species!$I43=11,"S","")</f>
        <v>H</v>
      </c>
      <c r="N43" s="153" t="str">
        <f aca="false">IF(Species!$G43&lt;=Species!$H43,IF(AND(12&gt;=Species!$G43,12&lt;=Species!$H43),"H",""),IF(OR(12&gt;=Species!$G43,12&lt;=Species!$H43),"H",""))&amp;IF(Species!$I43=12,"S","")</f>
        <v/>
      </c>
    </row>
    <row r="44" customFormat="false" ht="15" hidden="false" customHeight="false" outlineLevel="0" collapsed="false">
      <c r="A44" s="6" t="str">
        <f aca="false">Species!B44</f>
        <v>Pokeweed Berry</v>
      </c>
      <c r="B44" s="6" t="str">
        <f aca="false">Species!F44</f>
        <v>Fruit</v>
      </c>
      <c r="C44" s="153" t="str">
        <f aca="false">IF(Species!$G44&lt;=Species!$H44,IF(AND(1&gt;=Species!$G44,1&lt;=Species!$H44),"H",""),IF(OR(1&gt;=Species!$G44,1&lt;=Species!$H44),"H",""))&amp;IF(Species!$I44=1,"S","")</f>
        <v/>
      </c>
      <c r="D44" s="153" t="str">
        <f aca="false">IF(Species!$G44&lt;=Species!$H44,IF(AND(2&gt;=Species!$G44,2&lt;=Species!$H44),"H",""),IF(OR(2&gt;=Species!$G44,2&lt;=Species!$H44),"H",""))&amp;IF(Species!$I44=2,"S","")</f>
        <v/>
      </c>
      <c r="E44" s="153" t="str">
        <f aca="false">IF(Species!$G44&lt;=Species!$H44,IF(AND(3&gt;=Species!$G44,3&lt;=Species!$H44),"H",""),IF(OR(3&gt;=Species!$G44,3&lt;=Species!$H44),"H",""))&amp;IF(Species!$I44=3,"S","")</f>
        <v/>
      </c>
      <c r="F44" s="153" t="str">
        <f aca="false">IF(Species!$G44&lt;=Species!$H44,IF(AND(4&gt;=Species!$G44,4&lt;=Species!$H44),"H",""),IF(OR(4&gt;=Species!$G44,4&lt;=Species!$H44),"H",""))&amp;IF(Species!$I44=4,"S","")</f>
        <v/>
      </c>
      <c r="G44" s="153" t="str">
        <f aca="false">IF(Species!$G44&lt;=Species!$H44,IF(AND(5&gt;=Species!$G44,5&lt;=Species!$H44),"H",""),IF(OR(5&gt;=Species!$G44,5&lt;=Species!$H44),"H",""))&amp;IF(Species!$I44=5,"S","")</f>
        <v/>
      </c>
      <c r="H44" s="153" t="str">
        <f aca="false">IF(Species!$G44&lt;=Species!$H44,IF(AND(6&gt;=Species!$G44,6&lt;=Species!$H44),"H",""),IF(OR(6&gt;=Species!$G44,6&lt;=Species!$H44),"H",""))&amp;IF(Species!$I44=6,"S","")</f>
        <v/>
      </c>
      <c r="I44" s="153" t="str">
        <f aca="false">IF(Species!$G44&lt;=Species!$H44,IF(AND(7&gt;=Species!$G44,7&lt;=Species!$H44),"H",""),IF(OR(7&gt;=Species!$G44,7&lt;=Species!$H44),"H",""))&amp;IF(Species!$I44=7,"S","")</f>
        <v/>
      </c>
      <c r="J44" s="153" t="str">
        <f aca="false">IF(Species!$G44&lt;=Species!$H44,IF(AND(8&gt;=Species!$G44,8&lt;=Species!$H44),"H",""),IF(OR(8&gt;=Species!$G44,8&lt;=Species!$H44),"H",""))&amp;IF(Species!$I44=8,"S","")</f>
        <v>H</v>
      </c>
      <c r="K44" s="153" t="str">
        <f aca="false">IF(Species!$G44&lt;=Species!$H44,IF(AND(9&gt;=Species!$G44,9&lt;=Species!$H44),"H",""),IF(OR(9&gt;=Species!$G44,9&lt;=Species!$H44),"H",""))&amp;IF(Species!$I44=9,"S","")</f>
        <v>H</v>
      </c>
      <c r="L44" s="153" t="str">
        <f aca="false">IF(Species!$G44&lt;=Species!$H44,IF(AND(10&gt;=Species!$G44,10&lt;=Species!$H44),"H",""),IF(OR(10&gt;=Species!$G44,10&lt;=Species!$H44),"H",""))&amp;IF(Species!$I44=10,"S","")</f>
        <v>H</v>
      </c>
      <c r="M44" s="153" t="str">
        <f aca="false">IF(Species!$G44&lt;=Species!$H44,IF(AND(11&gt;=Species!$G44,11&lt;=Species!$H44),"H",""),IF(OR(11&gt;=Species!$G44,11&lt;=Species!$H44),"H",""))&amp;IF(Species!$I44=11,"S","")</f>
        <v/>
      </c>
      <c r="N44" s="153" t="str">
        <f aca="false">IF(Species!$G44&lt;=Species!$H44,IF(AND(12&gt;=Species!$G44,12&lt;=Species!$H44),"H",""),IF(OR(12&gt;=Species!$G44,12&lt;=Species!$H44),"H",""))&amp;IF(Species!$I44=12,"S","")</f>
        <v/>
      </c>
    </row>
    <row r="45" customFormat="false" ht="15" hidden="false" customHeight="false" outlineLevel="0" collapsed="false">
      <c r="A45" s="6" t="str">
        <f aca="false">Species!B45</f>
        <v>Common Mullein</v>
      </c>
      <c r="B45" s="6" t="str">
        <f aca="false">Species!F45</f>
        <v>Leaf</v>
      </c>
      <c r="C45" s="153" t="str">
        <f aca="false">IF(Species!$G45&lt;=Species!$H45,IF(AND(1&gt;=Species!$G45,1&lt;=Species!$H45),"H",""),IF(OR(1&gt;=Species!$G45,1&lt;=Species!$H45),"H",""))&amp;IF(Species!$I45=1,"S","")</f>
        <v/>
      </c>
      <c r="D45" s="153" t="str">
        <f aca="false">IF(Species!$G45&lt;=Species!$H45,IF(AND(2&gt;=Species!$G45,2&lt;=Species!$H45),"H",""),IF(OR(2&gt;=Species!$G45,2&lt;=Species!$H45),"H",""))&amp;IF(Species!$I45=2,"S","")</f>
        <v/>
      </c>
      <c r="E45" s="153" t="str">
        <f aca="false">IF(Species!$G45&lt;=Species!$H45,IF(AND(3&gt;=Species!$G45,3&lt;=Species!$H45),"H",""),IF(OR(3&gt;=Species!$G45,3&lt;=Species!$H45),"H",""))&amp;IF(Species!$I45=3,"S","")</f>
        <v/>
      </c>
      <c r="F45" s="153" t="str">
        <f aca="false">IF(Species!$G45&lt;=Species!$H45,IF(AND(4&gt;=Species!$G45,4&lt;=Species!$H45),"H",""),IF(OR(4&gt;=Species!$G45,4&lt;=Species!$H45),"H",""))&amp;IF(Species!$I45=4,"S","")</f>
        <v/>
      </c>
      <c r="G45" s="153" t="str">
        <f aca="false">IF(Species!$G45&lt;=Species!$H45,IF(AND(5&gt;=Species!$G45,5&lt;=Species!$H45),"H",""),IF(OR(5&gt;=Species!$G45,5&lt;=Species!$H45),"H",""))&amp;IF(Species!$I45=5,"S","")</f>
        <v/>
      </c>
      <c r="H45" s="153" t="str">
        <f aca="false">IF(Species!$G45&lt;=Species!$H45,IF(AND(6&gt;=Species!$G45,6&lt;=Species!$H45),"H",""),IF(OR(6&gt;=Species!$G45,6&lt;=Species!$H45),"H",""))&amp;IF(Species!$I45=6,"S","")</f>
        <v>H</v>
      </c>
      <c r="I45" s="153" t="str">
        <f aca="false">IF(Species!$G45&lt;=Species!$H45,IF(AND(7&gt;=Species!$G45,7&lt;=Species!$H45),"H",""),IF(OR(7&gt;=Species!$G45,7&lt;=Species!$H45),"H",""))&amp;IF(Species!$I45=7,"S","")</f>
        <v>H</v>
      </c>
      <c r="J45" s="153" t="str">
        <f aca="false">IF(Species!$G45&lt;=Species!$H45,IF(AND(8&gt;=Species!$G45,8&lt;=Species!$H45),"H",""),IF(OR(8&gt;=Species!$G45,8&lt;=Species!$H45),"H",""))&amp;IF(Species!$I45=8,"S","")</f>
        <v>H</v>
      </c>
      <c r="K45" s="153" t="str">
        <f aca="false">IF(Species!$G45&lt;=Species!$H45,IF(AND(9&gt;=Species!$G45,9&lt;=Species!$H45),"H",""),IF(OR(9&gt;=Species!$G45,9&lt;=Species!$H45),"H",""))&amp;IF(Species!$I45=9,"S","")</f>
        <v>HS</v>
      </c>
      <c r="L45" s="153" t="str">
        <f aca="false">IF(Species!$G45&lt;=Species!$H45,IF(AND(10&gt;=Species!$G45,10&lt;=Species!$H45),"H",""),IF(OR(10&gt;=Species!$G45,10&lt;=Species!$H45),"H",""))&amp;IF(Species!$I45=10,"S","")</f>
        <v/>
      </c>
      <c r="M45" s="153" t="str">
        <f aca="false">IF(Species!$G45&lt;=Species!$H45,IF(AND(11&gt;=Species!$G45,11&lt;=Species!$H45),"H",""),IF(OR(11&gt;=Species!$G45,11&lt;=Species!$H45),"H",""))&amp;IF(Species!$I45=11,"S","")</f>
        <v/>
      </c>
      <c r="N45" s="153" t="str">
        <f aca="false">IF(Species!$G45&lt;=Species!$H45,IF(AND(12&gt;=Species!$G45,12&lt;=Species!$H45),"H",""),IF(OR(12&gt;=Species!$G45,12&lt;=Species!$H45),"H",""))&amp;IF(Species!$I45=12,"S","")</f>
        <v/>
      </c>
    </row>
    <row r="46" customFormat="false" ht="15" hidden="false" customHeight="false" outlineLevel="0" collapsed="false">
      <c r="A46" s="6" t="str">
        <f aca="false">Species!B46</f>
        <v>Mullein Flower</v>
      </c>
      <c r="B46" s="6" t="str">
        <f aca="false">Species!F46</f>
        <v>Flower</v>
      </c>
      <c r="C46" s="153" t="str">
        <f aca="false">IF(Species!$G46&lt;=Species!$H46,IF(AND(1&gt;=Species!$G46,1&lt;=Species!$H46),"H",""),IF(OR(1&gt;=Species!$G46,1&lt;=Species!$H46),"H",""))&amp;IF(Species!$I46=1,"S","")</f>
        <v/>
      </c>
      <c r="D46" s="153" t="str">
        <f aca="false">IF(Species!$G46&lt;=Species!$H46,IF(AND(2&gt;=Species!$G46,2&lt;=Species!$H46),"H",""),IF(OR(2&gt;=Species!$G46,2&lt;=Species!$H46),"H",""))&amp;IF(Species!$I46=2,"S","")</f>
        <v/>
      </c>
      <c r="E46" s="153" t="str">
        <f aca="false">IF(Species!$G46&lt;=Species!$H46,IF(AND(3&gt;=Species!$G46,3&lt;=Species!$H46),"H",""),IF(OR(3&gt;=Species!$G46,3&lt;=Species!$H46),"H",""))&amp;IF(Species!$I46=3,"S","")</f>
        <v/>
      </c>
      <c r="F46" s="153" t="str">
        <f aca="false">IF(Species!$G46&lt;=Species!$H46,IF(AND(4&gt;=Species!$G46,4&lt;=Species!$H46),"H",""),IF(OR(4&gt;=Species!$G46,4&lt;=Species!$H46),"H",""))&amp;IF(Species!$I46=4,"S","")</f>
        <v/>
      </c>
      <c r="G46" s="153" t="str">
        <f aca="false">IF(Species!$G46&lt;=Species!$H46,IF(AND(5&gt;=Species!$G46,5&lt;=Species!$H46),"H",""),IF(OR(5&gt;=Species!$G46,5&lt;=Species!$H46),"H",""))&amp;IF(Species!$I46=5,"S","")</f>
        <v/>
      </c>
      <c r="H46" s="153" t="str">
        <f aca="false">IF(Species!$G46&lt;=Species!$H46,IF(AND(6&gt;=Species!$G46,6&lt;=Species!$H46),"H",""),IF(OR(6&gt;=Species!$G46,6&lt;=Species!$H46),"H",""))&amp;IF(Species!$I46=6,"S","")</f>
        <v/>
      </c>
      <c r="I46" s="153" t="str">
        <f aca="false">IF(Species!$G46&lt;=Species!$H46,IF(AND(7&gt;=Species!$G46,7&lt;=Species!$H46),"H",""),IF(OR(7&gt;=Species!$G46,7&lt;=Species!$H46),"H",""))&amp;IF(Species!$I46=7,"S","")</f>
        <v>H</v>
      </c>
      <c r="J46" s="153" t="str">
        <f aca="false">IF(Species!$G46&lt;=Species!$H46,IF(AND(8&gt;=Species!$G46,8&lt;=Species!$H46),"H",""),IF(OR(8&gt;=Species!$G46,8&lt;=Species!$H46),"H",""))&amp;IF(Species!$I46=8,"S","")</f>
        <v>H</v>
      </c>
      <c r="K46" s="153" t="str">
        <f aca="false">IF(Species!$G46&lt;=Species!$H46,IF(AND(9&gt;=Species!$G46,9&lt;=Species!$H46),"H",""),IF(OR(9&gt;=Species!$G46,9&lt;=Species!$H46),"H",""))&amp;IF(Species!$I46=9,"S","")</f>
        <v/>
      </c>
      <c r="L46" s="153" t="str">
        <f aca="false">IF(Species!$G46&lt;=Species!$H46,IF(AND(10&gt;=Species!$G46,10&lt;=Species!$H46),"H",""),IF(OR(10&gt;=Species!$G46,10&lt;=Species!$H46),"H",""))&amp;IF(Species!$I46=10,"S","")</f>
        <v/>
      </c>
      <c r="M46" s="153" t="str">
        <f aca="false">IF(Species!$G46&lt;=Species!$H46,IF(AND(11&gt;=Species!$G46,11&lt;=Species!$H46),"H",""),IF(OR(11&gt;=Species!$G46,11&lt;=Species!$H46),"H",""))&amp;IF(Species!$I46=11,"S","")</f>
        <v/>
      </c>
      <c r="N46" s="153" t="str">
        <f aca="false">IF(Species!$G46&lt;=Species!$H46,IF(AND(12&gt;=Species!$G46,12&lt;=Species!$H46),"H",""),IF(OR(12&gt;=Species!$G46,12&lt;=Species!$H46),"H",""))&amp;IF(Species!$I46=12,"S","")</f>
        <v/>
      </c>
    </row>
    <row r="47" customFormat="false" ht="15" hidden="false" customHeight="false" outlineLevel="0" collapsed="false">
      <c r="A47" s="6" t="str">
        <f aca="false">Species!B47</f>
        <v>Common Yarrow</v>
      </c>
      <c r="B47" s="6" t="str">
        <f aca="false">Species!F47</f>
        <v>Flower</v>
      </c>
      <c r="C47" s="153" t="str">
        <f aca="false">IF(Species!$G47&lt;=Species!$H47,IF(AND(1&gt;=Species!$G47,1&lt;=Species!$H47),"H",""),IF(OR(1&gt;=Species!$G47,1&lt;=Species!$H47),"H",""))&amp;IF(Species!$I47=1,"S","")</f>
        <v/>
      </c>
      <c r="D47" s="153" t="str">
        <f aca="false">IF(Species!$G47&lt;=Species!$H47,IF(AND(2&gt;=Species!$G47,2&lt;=Species!$H47),"H",""),IF(OR(2&gt;=Species!$G47,2&lt;=Species!$H47),"H",""))&amp;IF(Species!$I47=2,"S","")</f>
        <v/>
      </c>
      <c r="E47" s="153" t="str">
        <f aca="false">IF(Species!$G47&lt;=Species!$H47,IF(AND(3&gt;=Species!$G47,3&lt;=Species!$H47),"H",""),IF(OR(3&gt;=Species!$G47,3&lt;=Species!$H47),"H",""))&amp;IF(Species!$I47=3,"S","")</f>
        <v/>
      </c>
      <c r="F47" s="153" t="str">
        <f aca="false">IF(Species!$G47&lt;=Species!$H47,IF(AND(4&gt;=Species!$G47,4&lt;=Species!$H47),"H",""),IF(OR(4&gt;=Species!$G47,4&lt;=Species!$H47),"H",""))&amp;IF(Species!$I47=4,"S","")</f>
        <v/>
      </c>
      <c r="G47" s="153" t="str">
        <f aca="false">IF(Species!$G47&lt;=Species!$H47,IF(AND(5&gt;=Species!$G47,5&lt;=Species!$H47),"H",""),IF(OR(5&gt;=Species!$G47,5&lt;=Species!$H47),"H",""))&amp;IF(Species!$I47=5,"S","")</f>
        <v/>
      </c>
      <c r="H47" s="153" t="str">
        <f aca="false">IF(Species!$G47&lt;=Species!$H47,IF(AND(6&gt;=Species!$G47,6&lt;=Species!$H47),"H",""),IF(OR(6&gt;=Species!$G47,6&lt;=Species!$H47),"H",""))&amp;IF(Species!$I47=6,"S","")</f>
        <v>H</v>
      </c>
      <c r="I47" s="153" t="str">
        <f aca="false">IF(Species!$G47&lt;=Species!$H47,IF(AND(7&gt;=Species!$G47,7&lt;=Species!$H47),"H",""),IF(OR(7&gt;=Species!$G47,7&lt;=Species!$H47),"H",""))&amp;IF(Species!$I47=7,"S","")</f>
        <v>H</v>
      </c>
      <c r="J47" s="153" t="str">
        <f aca="false">IF(Species!$G47&lt;=Species!$H47,IF(AND(8&gt;=Species!$G47,8&lt;=Species!$H47),"H",""),IF(OR(8&gt;=Species!$G47,8&lt;=Species!$H47),"H",""))&amp;IF(Species!$I47=8,"S","")</f>
        <v>H</v>
      </c>
      <c r="K47" s="153" t="str">
        <f aca="false">IF(Species!$G47&lt;=Species!$H47,IF(AND(9&gt;=Species!$G47,9&lt;=Species!$H47),"H",""),IF(OR(9&gt;=Species!$G47,9&lt;=Species!$H47),"H",""))&amp;IF(Species!$I47=9,"S","")</f>
        <v>HS</v>
      </c>
      <c r="L47" s="153" t="str">
        <f aca="false">IF(Species!$G47&lt;=Species!$H47,IF(AND(10&gt;=Species!$G47,10&lt;=Species!$H47),"H",""),IF(OR(10&gt;=Species!$G47,10&lt;=Species!$H47),"H",""))&amp;IF(Species!$I47=10,"S","")</f>
        <v/>
      </c>
      <c r="M47" s="153" t="str">
        <f aca="false">IF(Species!$G47&lt;=Species!$H47,IF(AND(11&gt;=Species!$G47,11&lt;=Species!$H47),"H",""),IF(OR(11&gt;=Species!$G47,11&lt;=Species!$H47),"H",""))&amp;IF(Species!$I47=11,"S","")</f>
        <v/>
      </c>
      <c r="N47" s="153" t="str">
        <f aca="false">IF(Species!$G47&lt;=Species!$H47,IF(AND(12&gt;=Species!$G47,12&lt;=Species!$H47),"H",""),IF(OR(12&gt;=Species!$G47,12&lt;=Species!$H47),"H",""))&amp;IF(Species!$I47=12,"S","")</f>
        <v/>
      </c>
    </row>
    <row r="48" customFormat="false" ht="15" hidden="false" customHeight="false" outlineLevel="0" collapsed="false">
      <c r="A48" s="6" t="str">
        <f aca="false">Species!B48</f>
        <v>Queen Anne's Lace Seed</v>
      </c>
      <c r="B48" s="6" t="str">
        <f aca="false">Species!F48</f>
        <v>Seed</v>
      </c>
      <c r="C48" s="153" t="str">
        <f aca="false">IF(Species!$G48&lt;=Species!$H48,IF(AND(1&gt;=Species!$G48,1&lt;=Species!$H48),"H",""),IF(OR(1&gt;=Species!$G48,1&lt;=Species!$H48),"H",""))&amp;IF(Species!$I48=1,"S","")</f>
        <v/>
      </c>
      <c r="D48" s="153" t="str">
        <f aca="false">IF(Species!$G48&lt;=Species!$H48,IF(AND(2&gt;=Species!$G48,2&lt;=Species!$H48),"H",""),IF(OR(2&gt;=Species!$G48,2&lt;=Species!$H48),"H",""))&amp;IF(Species!$I48=2,"S","")</f>
        <v/>
      </c>
      <c r="E48" s="153" t="str">
        <f aca="false">IF(Species!$G48&lt;=Species!$H48,IF(AND(3&gt;=Species!$G48,3&lt;=Species!$H48),"H",""),IF(OR(3&gt;=Species!$G48,3&lt;=Species!$H48),"H",""))&amp;IF(Species!$I48=3,"S","")</f>
        <v/>
      </c>
      <c r="F48" s="153" t="str">
        <f aca="false">IF(Species!$G48&lt;=Species!$H48,IF(AND(4&gt;=Species!$G48,4&lt;=Species!$H48),"H",""),IF(OR(4&gt;=Species!$G48,4&lt;=Species!$H48),"H",""))&amp;IF(Species!$I48=4,"S","")</f>
        <v/>
      </c>
      <c r="G48" s="153" t="str">
        <f aca="false">IF(Species!$G48&lt;=Species!$H48,IF(AND(5&gt;=Species!$G48,5&lt;=Species!$H48),"H",""),IF(OR(5&gt;=Species!$G48,5&lt;=Species!$H48),"H",""))&amp;IF(Species!$I48=5,"S","")</f>
        <v/>
      </c>
      <c r="H48" s="153" t="str">
        <f aca="false">IF(Species!$G48&lt;=Species!$H48,IF(AND(6&gt;=Species!$G48,6&lt;=Species!$H48),"H",""),IF(OR(6&gt;=Species!$G48,6&lt;=Species!$H48),"H",""))&amp;IF(Species!$I48=6,"S","")</f>
        <v/>
      </c>
      <c r="I48" s="153" t="str">
        <f aca="false">IF(Species!$G48&lt;=Species!$H48,IF(AND(7&gt;=Species!$G48,7&lt;=Species!$H48),"H",""),IF(OR(7&gt;=Species!$G48,7&lt;=Species!$H48),"H",""))&amp;IF(Species!$I48=7,"S","")</f>
        <v/>
      </c>
      <c r="J48" s="153" t="str">
        <f aca="false">IF(Species!$G48&lt;=Species!$H48,IF(AND(8&gt;=Species!$G48,8&lt;=Species!$H48),"H",""),IF(OR(8&gt;=Species!$G48,8&lt;=Species!$H48),"H",""))&amp;IF(Species!$I48=8,"S","")</f>
        <v>H</v>
      </c>
      <c r="K48" s="153" t="str">
        <f aca="false">IF(Species!$G48&lt;=Species!$H48,IF(AND(9&gt;=Species!$G48,9&lt;=Species!$H48),"H",""),IF(OR(9&gt;=Species!$G48,9&lt;=Species!$H48),"H",""))&amp;IF(Species!$I48=9,"S","")</f>
        <v>H</v>
      </c>
      <c r="L48" s="153" t="str">
        <f aca="false">IF(Species!$G48&lt;=Species!$H48,IF(AND(10&gt;=Species!$G48,10&lt;=Species!$H48),"H",""),IF(OR(10&gt;=Species!$G48,10&lt;=Species!$H48),"H",""))&amp;IF(Species!$I48=10,"S","")</f>
        <v>H</v>
      </c>
      <c r="M48" s="153" t="str">
        <f aca="false">IF(Species!$G48&lt;=Species!$H48,IF(AND(11&gt;=Species!$G48,11&lt;=Species!$H48),"H",""),IF(OR(11&gt;=Species!$G48,11&lt;=Species!$H48),"H",""))&amp;IF(Species!$I48=11,"S","")</f>
        <v/>
      </c>
      <c r="N48" s="153" t="str">
        <f aca="false">IF(Species!$G48&lt;=Species!$H48,IF(AND(12&gt;=Species!$G48,12&lt;=Species!$H48),"H",""),IF(OR(12&gt;=Species!$G48,12&lt;=Species!$H48),"H",""))&amp;IF(Species!$I48=12,"S","")</f>
        <v/>
      </c>
    </row>
    <row r="49" customFormat="false" ht="15" hidden="false" customHeight="false" outlineLevel="0" collapsed="false">
      <c r="A49" s="6" t="str">
        <f aca="false">Species!B49</f>
        <v>Wild Parsnip</v>
      </c>
      <c r="B49" s="6" t="str">
        <f aca="false">Species!F49</f>
        <v>Root</v>
      </c>
      <c r="C49" s="153" t="str">
        <f aca="false">IF(Species!$G49&lt;=Species!$H49,IF(AND(1&gt;=Species!$G49,1&lt;=Species!$H49),"H",""),IF(OR(1&gt;=Species!$G49,1&lt;=Species!$H49),"H",""))&amp;IF(Species!$I49=1,"S","")</f>
        <v/>
      </c>
      <c r="D49" s="153" t="str">
        <f aca="false">IF(Species!$G49&lt;=Species!$H49,IF(AND(2&gt;=Species!$G49,2&lt;=Species!$H49),"H",""),IF(OR(2&gt;=Species!$G49,2&lt;=Species!$H49),"H",""))&amp;IF(Species!$I49=2,"S","")</f>
        <v/>
      </c>
      <c r="E49" s="153" t="str">
        <f aca="false">IF(Species!$G49&lt;=Species!$H49,IF(AND(3&gt;=Species!$G49,3&lt;=Species!$H49),"H",""),IF(OR(3&gt;=Species!$G49,3&lt;=Species!$H49),"H",""))&amp;IF(Species!$I49=3,"S","")</f>
        <v/>
      </c>
      <c r="F49" s="153" t="str">
        <f aca="false">IF(Species!$G49&lt;=Species!$H49,IF(AND(4&gt;=Species!$G49,4&lt;=Species!$H49),"H",""),IF(OR(4&gt;=Species!$G49,4&lt;=Species!$H49),"H",""))&amp;IF(Species!$I49=4,"S","")</f>
        <v/>
      </c>
      <c r="G49" s="153" t="str">
        <f aca="false">IF(Species!$G49&lt;=Species!$H49,IF(AND(5&gt;=Species!$G49,5&lt;=Species!$H49),"H",""),IF(OR(5&gt;=Species!$G49,5&lt;=Species!$H49),"H",""))&amp;IF(Species!$I49=5,"S","")</f>
        <v/>
      </c>
      <c r="H49" s="153" t="str">
        <f aca="false">IF(Species!$G49&lt;=Species!$H49,IF(AND(6&gt;=Species!$G49,6&lt;=Species!$H49),"H",""),IF(OR(6&gt;=Species!$G49,6&lt;=Species!$H49),"H",""))&amp;IF(Species!$I49=6,"S","")</f>
        <v/>
      </c>
      <c r="I49" s="153" t="str">
        <f aca="false">IF(Species!$G49&lt;=Species!$H49,IF(AND(7&gt;=Species!$G49,7&lt;=Species!$H49),"H",""),IF(OR(7&gt;=Species!$G49,7&lt;=Species!$H49),"H",""))&amp;IF(Species!$I49=7,"S","")</f>
        <v/>
      </c>
      <c r="J49" s="153" t="str">
        <f aca="false">IF(Species!$G49&lt;=Species!$H49,IF(AND(8&gt;=Species!$G49,8&lt;=Species!$H49),"H",""),IF(OR(8&gt;=Species!$G49,8&lt;=Species!$H49),"H",""))&amp;IF(Species!$I49=8,"S","")</f>
        <v/>
      </c>
      <c r="K49" s="153" t="str">
        <f aca="false">IF(Species!$G49&lt;=Species!$H49,IF(AND(9&gt;=Species!$G49,9&lt;=Species!$H49),"H",""),IF(OR(9&gt;=Species!$G49,9&lt;=Species!$H49),"H",""))&amp;IF(Species!$I49=9,"S","")</f>
        <v>S</v>
      </c>
      <c r="L49" s="153" t="str">
        <f aca="false">IF(Species!$G49&lt;=Species!$H49,IF(AND(10&gt;=Species!$G49,10&lt;=Species!$H49),"H",""),IF(OR(10&gt;=Species!$G49,10&lt;=Species!$H49),"H",""))&amp;IF(Species!$I49=10,"S","")</f>
        <v>H</v>
      </c>
      <c r="M49" s="153" t="str">
        <f aca="false">IF(Species!$G49&lt;=Species!$H49,IF(AND(11&gt;=Species!$G49,11&lt;=Species!$H49),"H",""),IF(OR(11&gt;=Species!$G49,11&lt;=Species!$H49),"H",""))&amp;IF(Species!$I49=11,"S","")</f>
        <v>H</v>
      </c>
      <c r="N49" s="153" t="str">
        <f aca="false">IF(Species!$G49&lt;=Species!$H49,IF(AND(12&gt;=Species!$G49,12&lt;=Species!$H49),"H",""),IF(OR(12&gt;=Species!$G49,12&lt;=Species!$H49),"H",""))&amp;IF(Species!$I49=12,"S","")</f>
        <v/>
      </c>
    </row>
    <row r="50" customFormat="false" ht="15" hidden="false" customHeight="false" outlineLevel="0" collapsed="false">
      <c r="A50" s="6" t="str">
        <f aca="false">Species!B50</f>
        <v>Poison Hemlock</v>
      </c>
      <c r="B50" s="6" t="str">
        <f aca="false">Species!F50</f>
        <v>Seed</v>
      </c>
      <c r="C50" s="153" t="str">
        <f aca="false">IF(Species!$G50&lt;=Species!$H50,IF(AND(1&gt;=Species!$G50,1&lt;=Species!$H50),"H",""),IF(OR(1&gt;=Species!$G50,1&lt;=Species!$H50),"H",""))&amp;IF(Species!$I50=1,"S","")</f>
        <v/>
      </c>
      <c r="D50" s="153" t="str">
        <f aca="false">IF(Species!$G50&lt;=Species!$H50,IF(AND(2&gt;=Species!$G50,2&lt;=Species!$H50),"H",""),IF(OR(2&gt;=Species!$G50,2&lt;=Species!$H50),"H",""))&amp;IF(Species!$I50=2,"S","")</f>
        <v/>
      </c>
      <c r="E50" s="153" t="str">
        <f aca="false">IF(Species!$G50&lt;=Species!$H50,IF(AND(3&gt;=Species!$G50,3&lt;=Species!$H50),"H",""),IF(OR(3&gt;=Species!$G50,3&lt;=Species!$H50),"H",""))&amp;IF(Species!$I50=3,"S","")</f>
        <v/>
      </c>
      <c r="F50" s="153" t="str">
        <f aca="false">IF(Species!$G50&lt;=Species!$H50,IF(AND(4&gt;=Species!$G50,4&lt;=Species!$H50),"H",""),IF(OR(4&gt;=Species!$G50,4&lt;=Species!$H50),"H",""))&amp;IF(Species!$I50=4,"S","")</f>
        <v/>
      </c>
      <c r="G50" s="153" t="str">
        <f aca="false">IF(Species!$G50&lt;=Species!$H50,IF(AND(5&gt;=Species!$G50,5&lt;=Species!$H50),"H",""),IF(OR(5&gt;=Species!$G50,5&lt;=Species!$H50),"H",""))&amp;IF(Species!$I50=5,"S","")</f>
        <v/>
      </c>
      <c r="H50" s="153" t="str">
        <f aca="false">IF(Species!$G50&lt;=Species!$H50,IF(AND(6&gt;=Species!$G50,6&lt;=Species!$H50),"H",""),IF(OR(6&gt;=Species!$G50,6&lt;=Species!$H50),"H",""))&amp;IF(Species!$I50=6,"S","")</f>
        <v/>
      </c>
      <c r="I50" s="153" t="str">
        <f aca="false">IF(Species!$G50&lt;=Species!$H50,IF(AND(7&gt;=Species!$G50,7&lt;=Species!$H50),"H",""),IF(OR(7&gt;=Species!$G50,7&lt;=Species!$H50),"H",""))&amp;IF(Species!$I50=7,"S","")</f>
        <v>H</v>
      </c>
      <c r="J50" s="153" t="str">
        <f aca="false">IF(Species!$G50&lt;=Species!$H50,IF(AND(8&gt;=Species!$G50,8&lt;=Species!$H50),"H",""),IF(OR(8&gt;=Species!$G50,8&lt;=Species!$H50),"H",""))&amp;IF(Species!$I50=8,"S","")</f>
        <v>H</v>
      </c>
      <c r="K50" s="153" t="str">
        <f aca="false">IF(Species!$G50&lt;=Species!$H50,IF(AND(9&gt;=Species!$G50,9&lt;=Species!$H50),"H",""),IF(OR(9&gt;=Species!$G50,9&lt;=Species!$H50),"H",""))&amp;IF(Species!$I50=9,"S","")</f>
        <v>H</v>
      </c>
      <c r="L50" s="153" t="str">
        <f aca="false">IF(Species!$G50&lt;=Species!$H50,IF(AND(10&gt;=Species!$G50,10&lt;=Species!$H50),"H",""),IF(OR(10&gt;=Species!$G50,10&lt;=Species!$H50),"H",""))&amp;IF(Species!$I50=10,"S","")</f>
        <v/>
      </c>
      <c r="M50" s="153" t="str">
        <f aca="false">IF(Species!$G50&lt;=Species!$H50,IF(AND(11&gt;=Species!$G50,11&lt;=Species!$H50),"H",""),IF(OR(11&gt;=Species!$G50,11&lt;=Species!$H50),"H",""))&amp;IF(Species!$I50=11,"S","")</f>
        <v/>
      </c>
      <c r="N50" s="153" t="str">
        <f aca="false">IF(Species!$G50&lt;=Species!$H50,IF(AND(12&gt;=Species!$G50,12&lt;=Species!$H50),"H",""),IF(OR(12&gt;=Species!$G50,12&lt;=Species!$H50),"H",""))&amp;IF(Species!$I50=12,"S","")</f>
        <v/>
      </c>
    </row>
    <row r="51" customFormat="false" ht="15" hidden="false" customHeight="false" outlineLevel="0" collapsed="false">
      <c r="A51" s="6" t="str">
        <f aca="false">Species!B51</f>
        <v>Water Hemlock</v>
      </c>
      <c r="B51" s="6" t="str">
        <f aca="false">Species!F51</f>
        <v>Root</v>
      </c>
      <c r="C51" s="153" t="str">
        <f aca="false">IF(Species!$G51&lt;=Species!$H51,IF(AND(1&gt;=Species!$G51,1&lt;=Species!$H51),"H",""),IF(OR(1&gt;=Species!$G51,1&lt;=Species!$H51),"H",""))&amp;IF(Species!$I51=1,"S","")</f>
        <v/>
      </c>
      <c r="D51" s="153" t="str">
        <f aca="false">IF(Species!$G51&lt;=Species!$H51,IF(AND(2&gt;=Species!$G51,2&lt;=Species!$H51),"H",""),IF(OR(2&gt;=Species!$G51,2&lt;=Species!$H51),"H",""))&amp;IF(Species!$I51=2,"S","")</f>
        <v/>
      </c>
      <c r="E51" s="153" t="str">
        <f aca="false">IF(Species!$G51&lt;=Species!$H51,IF(AND(3&gt;=Species!$G51,3&lt;=Species!$H51),"H",""),IF(OR(3&gt;=Species!$G51,3&lt;=Species!$H51),"H",""))&amp;IF(Species!$I51=3,"S","")</f>
        <v/>
      </c>
      <c r="F51" s="153" t="str">
        <f aca="false">IF(Species!$G51&lt;=Species!$H51,IF(AND(4&gt;=Species!$G51,4&lt;=Species!$H51),"H",""),IF(OR(4&gt;=Species!$G51,4&lt;=Species!$H51),"H",""))&amp;IF(Species!$I51=4,"S","")</f>
        <v/>
      </c>
      <c r="G51" s="153" t="str">
        <f aca="false">IF(Species!$G51&lt;=Species!$H51,IF(AND(5&gt;=Species!$G51,5&lt;=Species!$H51),"H",""),IF(OR(5&gt;=Species!$G51,5&lt;=Species!$H51),"H",""))&amp;IF(Species!$I51=5,"S","")</f>
        <v>H</v>
      </c>
      <c r="H51" s="153" t="str">
        <f aca="false">IF(Species!$G51&lt;=Species!$H51,IF(AND(6&gt;=Species!$G51,6&lt;=Species!$H51),"H",""),IF(OR(6&gt;=Species!$G51,6&lt;=Species!$H51),"H",""))&amp;IF(Species!$I51=6,"S","")</f>
        <v>H</v>
      </c>
      <c r="I51" s="153" t="str">
        <f aca="false">IF(Species!$G51&lt;=Species!$H51,IF(AND(7&gt;=Species!$G51,7&lt;=Species!$H51),"H",""),IF(OR(7&gt;=Species!$G51,7&lt;=Species!$H51),"H",""))&amp;IF(Species!$I51=7,"S","")</f>
        <v>H</v>
      </c>
      <c r="J51" s="153" t="str">
        <f aca="false">IF(Species!$G51&lt;=Species!$H51,IF(AND(8&gt;=Species!$G51,8&lt;=Species!$H51),"H",""),IF(OR(8&gt;=Species!$G51,8&lt;=Species!$H51),"H",""))&amp;IF(Species!$I51=8,"S","")</f>
        <v>H</v>
      </c>
      <c r="K51" s="153" t="str">
        <f aca="false">IF(Species!$G51&lt;=Species!$H51,IF(AND(9&gt;=Species!$G51,9&lt;=Species!$H51),"H",""),IF(OR(9&gt;=Species!$G51,9&lt;=Species!$H51),"H",""))&amp;IF(Species!$I51=9,"S","")</f>
        <v>H</v>
      </c>
      <c r="L51" s="153" t="str">
        <f aca="false">IF(Species!$G51&lt;=Species!$H51,IF(AND(10&gt;=Species!$G51,10&lt;=Species!$H51),"H",""),IF(OR(10&gt;=Species!$G51,10&lt;=Species!$H51),"H",""))&amp;IF(Species!$I51=10,"S","")</f>
        <v>H</v>
      </c>
      <c r="M51" s="153" t="str">
        <f aca="false">IF(Species!$G51&lt;=Species!$H51,IF(AND(11&gt;=Species!$G51,11&lt;=Species!$H51),"H",""),IF(OR(11&gt;=Species!$G51,11&lt;=Species!$H51),"H",""))&amp;IF(Species!$I51=11,"S","")</f>
        <v/>
      </c>
      <c r="N51" s="153" t="str">
        <f aca="false">IF(Species!$G51&lt;=Species!$H51,IF(AND(12&gt;=Species!$G51,12&lt;=Species!$H51),"H",""),IF(OR(12&gt;=Species!$G51,12&lt;=Species!$H51),"H",""))&amp;IF(Species!$I51=12,"S","")</f>
        <v/>
      </c>
    </row>
    <row r="52" customFormat="false" ht="15" hidden="false" customHeight="false" outlineLevel="0" collapsed="false">
      <c r="A52" s="6" t="str">
        <f aca="false">Species!B52</f>
        <v>Jimsonweed</v>
      </c>
      <c r="B52" s="6" t="str">
        <f aca="false">Species!F52</f>
        <v>Seed</v>
      </c>
      <c r="C52" s="153" t="str">
        <f aca="false">IF(Species!$G52&lt;=Species!$H52,IF(AND(1&gt;=Species!$G52,1&lt;=Species!$H52),"H",""),IF(OR(1&gt;=Species!$G52,1&lt;=Species!$H52),"H",""))&amp;IF(Species!$I52=1,"S","")</f>
        <v/>
      </c>
      <c r="D52" s="153" t="str">
        <f aca="false">IF(Species!$G52&lt;=Species!$H52,IF(AND(2&gt;=Species!$G52,2&lt;=Species!$H52),"H",""),IF(OR(2&gt;=Species!$G52,2&lt;=Species!$H52),"H",""))&amp;IF(Species!$I52=2,"S","")</f>
        <v/>
      </c>
      <c r="E52" s="153" t="str">
        <f aca="false">IF(Species!$G52&lt;=Species!$H52,IF(AND(3&gt;=Species!$G52,3&lt;=Species!$H52),"H",""),IF(OR(3&gt;=Species!$G52,3&lt;=Species!$H52),"H",""))&amp;IF(Species!$I52=3,"S","")</f>
        <v/>
      </c>
      <c r="F52" s="153" t="str">
        <f aca="false">IF(Species!$G52&lt;=Species!$H52,IF(AND(4&gt;=Species!$G52,4&lt;=Species!$H52),"H",""),IF(OR(4&gt;=Species!$G52,4&lt;=Species!$H52),"H",""))&amp;IF(Species!$I52=4,"S","")</f>
        <v/>
      </c>
      <c r="G52" s="153" t="str">
        <f aca="false">IF(Species!$G52&lt;=Species!$H52,IF(AND(5&gt;=Species!$G52,5&lt;=Species!$H52),"H",""),IF(OR(5&gt;=Species!$G52,5&lt;=Species!$H52),"H",""))&amp;IF(Species!$I52=5,"S","")</f>
        <v/>
      </c>
      <c r="H52" s="153" t="str">
        <f aca="false">IF(Species!$G52&lt;=Species!$H52,IF(AND(6&gt;=Species!$G52,6&lt;=Species!$H52),"H",""),IF(OR(6&gt;=Species!$G52,6&lt;=Species!$H52),"H",""))&amp;IF(Species!$I52=6,"S","")</f>
        <v/>
      </c>
      <c r="I52" s="153" t="str">
        <f aca="false">IF(Species!$G52&lt;=Species!$H52,IF(AND(7&gt;=Species!$G52,7&lt;=Species!$H52),"H",""),IF(OR(7&gt;=Species!$G52,7&lt;=Species!$H52),"H",""))&amp;IF(Species!$I52=7,"S","")</f>
        <v/>
      </c>
      <c r="J52" s="153" t="str">
        <f aca="false">IF(Species!$G52&lt;=Species!$H52,IF(AND(8&gt;=Species!$G52,8&lt;=Species!$H52),"H",""),IF(OR(8&gt;=Species!$G52,8&lt;=Species!$H52),"H",""))&amp;IF(Species!$I52=8,"S","")</f>
        <v>H</v>
      </c>
      <c r="K52" s="153" t="str">
        <f aca="false">IF(Species!$G52&lt;=Species!$H52,IF(AND(9&gt;=Species!$G52,9&lt;=Species!$H52),"H",""),IF(OR(9&gt;=Species!$G52,9&lt;=Species!$H52),"H",""))&amp;IF(Species!$I52=9,"S","")</f>
        <v>H</v>
      </c>
      <c r="L52" s="153" t="str">
        <f aca="false">IF(Species!$G52&lt;=Species!$H52,IF(AND(10&gt;=Species!$G52,10&lt;=Species!$H52),"H",""),IF(OR(10&gt;=Species!$G52,10&lt;=Species!$H52),"H",""))&amp;IF(Species!$I52=10,"S","")</f>
        <v>H</v>
      </c>
      <c r="M52" s="153" t="str">
        <f aca="false">IF(Species!$G52&lt;=Species!$H52,IF(AND(11&gt;=Species!$G52,11&lt;=Species!$H52),"H",""),IF(OR(11&gt;=Species!$G52,11&lt;=Species!$H52),"H",""))&amp;IF(Species!$I52=11,"S","")</f>
        <v/>
      </c>
      <c r="N52" s="153" t="str">
        <f aca="false">IF(Species!$G52&lt;=Species!$H52,IF(AND(12&gt;=Species!$G52,12&lt;=Species!$H52),"H",""),IF(OR(12&gt;=Species!$G52,12&lt;=Species!$H52),"H",""))&amp;IF(Species!$I52=12,"S","")</f>
        <v/>
      </c>
    </row>
    <row r="53" customFormat="false" ht="15" hidden="false" customHeight="false" outlineLevel="0" collapsed="false">
      <c r="A53" s="6" t="str">
        <f aca="false">Species!B53</f>
        <v>Common Milkweed</v>
      </c>
      <c r="B53" s="6" t="str">
        <f aca="false">Species!F53</f>
        <v>Seed</v>
      </c>
      <c r="C53" s="153" t="str">
        <f aca="false">IF(Species!$G53&lt;=Species!$H53,IF(AND(1&gt;=Species!$G53,1&lt;=Species!$H53),"H",""),IF(OR(1&gt;=Species!$G53,1&lt;=Species!$H53),"H",""))&amp;IF(Species!$I53=1,"S","")</f>
        <v/>
      </c>
      <c r="D53" s="153" t="str">
        <f aca="false">IF(Species!$G53&lt;=Species!$H53,IF(AND(2&gt;=Species!$G53,2&lt;=Species!$H53),"H",""),IF(OR(2&gt;=Species!$G53,2&lt;=Species!$H53),"H",""))&amp;IF(Species!$I53=2,"S","")</f>
        <v/>
      </c>
      <c r="E53" s="153" t="str">
        <f aca="false">IF(Species!$G53&lt;=Species!$H53,IF(AND(3&gt;=Species!$G53,3&lt;=Species!$H53),"H",""),IF(OR(3&gt;=Species!$G53,3&lt;=Species!$H53),"H",""))&amp;IF(Species!$I53=3,"S","")</f>
        <v/>
      </c>
      <c r="F53" s="153" t="str">
        <f aca="false">IF(Species!$G53&lt;=Species!$H53,IF(AND(4&gt;=Species!$G53,4&lt;=Species!$H53),"H",""),IF(OR(4&gt;=Species!$G53,4&lt;=Species!$H53),"H",""))&amp;IF(Species!$I53=4,"S","")</f>
        <v/>
      </c>
      <c r="G53" s="153" t="str">
        <f aca="false">IF(Species!$G53&lt;=Species!$H53,IF(AND(5&gt;=Species!$G53,5&lt;=Species!$H53),"H",""),IF(OR(5&gt;=Species!$G53,5&lt;=Species!$H53),"H",""))&amp;IF(Species!$I53=5,"S","")</f>
        <v/>
      </c>
      <c r="H53" s="153" t="str">
        <f aca="false">IF(Species!$G53&lt;=Species!$H53,IF(AND(6&gt;=Species!$G53,6&lt;=Species!$H53),"H",""),IF(OR(6&gt;=Species!$G53,6&lt;=Species!$H53),"H",""))&amp;IF(Species!$I53=6,"S","")</f>
        <v/>
      </c>
      <c r="I53" s="153" t="str">
        <f aca="false">IF(Species!$G53&lt;=Species!$H53,IF(AND(7&gt;=Species!$G53,7&lt;=Species!$H53),"H",""),IF(OR(7&gt;=Species!$G53,7&lt;=Species!$H53),"H",""))&amp;IF(Species!$I53=7,"S","")</f>
        <v/>
      </c>
      <c r="J53" s="153" t="str">
        <f aca="false">IF(Species!$G53&lt;=Species!$H53,IF(AND(8&gt;=Species!$G53,8&lt;=Species!$H53),"H",""),IF(OR(8&gt;=Species!$G53,8&lt;=Species!$H53),"H",""))&amp;IF(Species!$I53=8,"S","")</f>
        <v/>
      </c>
      <c r="K53" s="153" t="str">
        <f aca="false">IF(Species!$G53&lt;=Species!$H53,IF(AND(9&gt;=Species!$G53,9&lt;=Species!$H53),"H",""),IF(OR(9&gt;=Species!$G53,9&lt;=Species!$H53),"H",""))&amp;IF(Species!$I53=9,"S","")</f>
        <v>H</v>
      </c>
      <c r="L53" s="153" t="str">
        <f aca="false">IF(Species!$G53&lt;=Species!$H53,IF(AND(10&gt;=Species!$G53,10&lt;=Species!$H53),"H",""),IF(OR(10&gt;=Species!$G53,10&lt;=Species!$H53),"H",""))&amp;IF(Species!$I53=10,"S","")</f>
        <v>H</v>
      </c>
      <c r="M53" s="153" t="str">
        <f aca="false">IF(Species!$G53&lt;=Species!$H53,IF(AND(11&gt;=Species!$G53,11&lt;=Species!$H53),"H",""),IF(OR(11&gt;=Species!$G53,11&lt;=Species!$H53),"H",""))&amp;IF(Species!$I53=11,"S","")</f>
        <v/>
      </c>
      <c r="N53" s="153" t="str">
        <f aca="false">IF(Species!$G53&lt;=Species!$H53,IF(AND(12&gt;=Species!$G53,12&lt;=Species!$H53),"H",""),IF(OR(12&gt;=Species!$G53,12&lt;=Species!$H53),"H",""))&amp;IF(Species!$I53=12,"S","")</f>
        <v/>
      </c>
    </row>
    <row r="54" customFormat="false" ht="15" hidden="false" customHeight="false" outlineLevel="0" collapsed="false">
      <c r="A54" s="6" t="str">
        <f aca="false">Species!B54</f>
        <v>Butterfly Weed</v>
      </c>
      <c r="B54" s="6" t="str">
        <f aca="false">Species!F54</f>
        <v>Root</v>
      </c>
      <c r="C54" s="153" t="str">
        <f aca="false">IF(Species!$G54&lt;=Species!$H54,IF(AND(1&gt;=Species!$G54,1&lt;=Species!$H54),"H",""),IF(OR(1&gt;=Species!$G54,1&lt;=Species!$H54),"H",""))&amp;IF(Species!$I54=1,"S","")</f>
        <v/>
      </c>
      <c r="D54" s="153" t="str">
        <f aca="false">IF(Species!$G54&lt;=Species!$H54,IF(AND(2&gt;=Species!$G54,2&lt;=Species!$H54),"H",""),IF(OR(2&gt;=Species!$G54,2&lt;=Species!$H54),"H",""))&amp;IF(Species!$I54=2,"S","")</f>
        <v/>
      </c>
      <c r="E54" s="153" t="str">
        <f aca="false">IF(Species!$G54&lt;=Species!$H54,IF(AND(3&gt;=Species!$G54,3&lt;=Species!$H54),"H",""),IF(OR(3&gt;=Species!$G54,3&lt;=Species!$H54),"H",""))&amp;IF(Species!$I54=3,"S","")</f>
        <v/>
      </c>
      <c r="F54" s="153" t="str">
        <f aca="false">IF(Species!$G54&lt;=Species!$H54,IF(AND(4&gt;=Species!$G54,4&lt;=Species!$H54),"H",""),IF(OR(4&gt;=Species!$G54,4&lt;=Species!$H54),"H",""))&amp;IF(Species!$I54=4,"S","")</f>
        <v/>
      </c>
      <c r="G54" s="153" t="str">
        <f aca="false">IF(Species!$G54&lt;=Species!$H54,IF(AND(5&gt;=Species!$G54,5&lt;=Species!$H54),"H",""),IF(OR(5&gt;=Species!$G54,5&lt;=Species!$H54),"H",""))&amp;IF(Species!$I54=5,"S","")</f>
        <v/>
      </c>
      <c r="H54" s="153" t="str">
        <f aca="false">IF(Species!$G54&lt;=Species!$H54,IF(AND(6&gt;=Species!$G54,6&lt;=Species!$H54),"H",""),IF(OR(6&gt;=Species!$G54,6&lt;=Species!$H54),"H",""))&amp;IF(Species!$I54=6,"S","")</f>
        <v/>
      </c>
      <c r="I54" s="153" t="str">
        <f aca="false">IF(Species!$G54&lt;=Species!$H54,IF(AND(7&gt;=Species!$G54,7&lt;=Species!$H54),"H",""),IF(OR(7&gt;=Species!$G54,7&lt;=Species!$H54),"H",""))&amp;IF(Species!$I54=7,"S","")</f>
        <v/>
      </c>
      <c r="J54" s="153" t="str">
        <f aca="false">IF(Species!$G54&lt;=Species!$H54,IF(AND(8&gt;=Species!$G54,8&lt;=Species!$H54),"H",""),IF(OR(8&gt;=Species!$G54,8&lt;=Species!$H54),"H",""))&amp;IF(Species!$I54=8,"S","")</f>
        <v/>
      </c>
      <c r="K54" s="153" t="str">
        <f aca="false">IF(Species!$G54&lt;=Species!$H54,IF(AND(9&gt;=Species!$G54,9&lt;=Species!$H54),"H",""),IF(OR(9&gt;=Species!$G54,9&lt;=Species!$H54),"H",""))&amp;IF(Species!$I54=9,"S","")</f>
        <v>HS</v>
      </c>
      <c r="L54" s="153" t="str">
        <f aca="false">IF(Species!$G54&lt;=Species!$H54,IF(AND(10&gt;=Species!$G54,10&lt;=Species!$H54),"H",""),IF(OR(10&gt;=Species!$G54,10&lt;=Species!$H54),"H",""))&amp;IF(Species!$I54=10,"S","")</f>
        <v>H</v>
      </c>
      <c r="M54" s="153" t="str">
        <f aca="false">IF(Species!$G54&lt;=Species!$H54,IF(AND(11&gt;=Species!$G54,11&lt;=Species!$H54),"H",""),IF(OR(11&gt;=Species!$G54,11&lt;=Species!$H54),"H",""))&amp;IF(Species!$I54=11,"S","")</f>
        <v/>
      </c>
      <c r="N54" s="153" t="str">
        <f aca="false">IF(Species!$G54&lt;=Species!$H54,IF(AND(12&gt;=Species!$G54,12&lt;=Species!$H54),"H",""),IF(OR(12&gt;=Species!$G54,12&lt;=Species!$H54),"H",""))&amp;IF(Species!$I54=12,"S","")</f>
        <v/>
      </c>
    </row>
    <row r="55" customFormat="false" ht="15" hidden="false" customHeight="false" outlineLevel="0" collapsed="false">
      <c r="A55" s="6" t="str">
        <f aca="false">Species!B55</f>
        <v>Purple Coneflower</v>
      </c>
      <c r="B55" s="6" t="str">
        <f aca="false">Species!F55</f>
        <v>Root</v>
      </c>
      <c r="C55" s="153" t="str">
        <f aca="false">IF(Species!$G55&lt;=Species!$H55,IF(AND(1&gt;=Species!$G55,1&lt;=Species!$H55),"H",""),IF(OR(1&gt;=Species!$G55,1&lt;=Species!$H55),"H",""))&amp;IF(Species!$I55=1,"S","")</f>
        <v/>
      </c>
      <c r="D55" s="153" t="str">
        <f aca="false">IF(Species!$G55&lt;=Species!$H55,IF(AND(2&gt;=Species!$G55,2&lt;=Species!$H55),"H",""),IF(OR(2&gt;=Species!$G55,2&lt;=Species!$H55),"H",""))&amp;IF(Species!$I55=2,"S","")</f>
        <v/>
      </c>
      <c r="E55" s="153" t="str">
        <f aca="false">IF(Species!$G55&lt;=Species!$H55,IF(AND(3&gt;=Species!$G55,3&lt;=Species!$H55),"H",""),IF(OR(3&gt;=Species!$G55,3&lt;=Species!$H55),"H",""))&amp;IF(Species!$I55=3,"S","")</f>
        <v/>
      </c>
      <c r="F55" s="153" t="str">
        <f aca="false">IF(Species!$G55&lt;=Species!$H55,IF(AND(4&gt;=Species!$G55,4&lt;=Species!$H55),"H",""),IF(OR(4&gt;=Species!$G55,4&lt;=Species!$H55),"H",""))&amp;IF(Species!$I55=4,"S","")</f>
        <v/>
      </c>
      <c r="G55" s="153" t="str">
        <f aca="false">IF(Species!$G55&lt;=Species!$H55,IF(AND(5&gt;=Species!$G55,5&lt;=Species!$H55),"H",""),IF(OR(5&gt;=Species!$G55,5&lt;=Species!$H55),"H",""))&amp;IF(Species!$I55=5,"S","")</f>
        <v/>
      </c>
      <c r="H55" s="153" t="str">
        <f aca="false">IF(Species!$G55&lt;=Species!$H55,IF(AND(6&gt;=Species!$G55,6&lt;=Species!$H55),"H",""),IF(OR(6&gt;=Species!$G55,6&lt;=Species!$H55),"H",""))&amp;IF(Species!$I55=6,"S","")</f>
        <v/>
      </c>
      <c r="I55" s="153" t="str">
        <f aca="false">IF(Species!$G55&lt;=Species!$H55,IF(AND(7&gt;=Species!$G55,7&lt;=Species!$H55),"H",""),IF(OR(7&gt;=Species!$G55,7&lt;=Species!$H55),"H",""))&amp;IF(Species!$I55=7,"S","")</f>
        <v/>
      </c>
      <c r="J55" s="153" t="str">
        <f aca="false">IF(Species!$G55&lt;=Species!$H55,IF(AND(8&gt;=Species!$G55,8&lt;=Species!$H55),"H",""),IF(OR(8&gt;=Species!$G55,8&lt;=Species!$H55),"H",""))&amp;IF(Species!$I55=8,"S","")</f>
        <v/>
      </c>
      <c r="K55" s="153" t="str">
        <f aca="false">IF(Species!$G55&lt;=Species!$H55,IF(AND(9&gt;=Species!$G55,9&lt;=Species!$H55),"H",""),IF(OR(9&gt;=Species!$G55,9&lt;=Species!$H55),"H",""))&amp;IF(Species!$I55=9,"S","")</f>
        <v>HS</v>
      </c>
      <c r="L55" s="153" t="str">
        <f aca="false">IF(Species!$G55&lt;=Species!$H55,IF(AND(10&gt;=Species!$G55,10&lt;=Species!$H55),"H",""),IF(OR(10&gt;=Species!$G55,10&lt;=Species!$H55),"H",""))&amp;IF(Species!$I55=10,"S","")</f>
        <v>H</v>
      </c>
      <c r="M55" s="153" t="str">
        <f aca="false">IF(Species!$G55&lt;=Species!$H55,IF(AND(11&gt;=Species!$G55,11&lt;=Species!$H55),"H",""),IF(OR(11&gt;=Species!$G55,11&lt;=Species!$H55),"H",""))&amp;IF(Species!$I55=11,"S","")</f>
        <v/>
      </c>
      <c r="N55" s="153" t="str">
        <f aca="false">IF(Species!$G55&lt;=Species!$H55,IF(AND(12&gt;=Species!$G55,12&lt;=Species!$H55),"H",""),IF(OR(12&gt;=Species!$G55,12&lt;=Species!$H55),"H",""))&amp;IF(Species!$I55=12,"S","")</f>
        <v/>
      </c>
    </row>
    <row r="56" customFormat="false" ht="15" hidden="false" customHeight="false" outlineLevel="0" collapsed="false">
      <c r="A56" s="6" t="str">
        <f aca="false">Species!B56</f>
        <v>Pale Purple Coneflower</v>
      </c>
      <c r="B56" s="6" t="str">
        <f aca="false">Species!F56</f>
        <v>Root</v>
      </c>
      <c r="C56" s="153" t="str">
        <f aca="false">IF(Species!$G56&lt;=Species!$H56,IF(AND(1&gt;=Species!$G56,1&lt;=Species!$H56),"H",""),IF(OR(1&gt;=Species!$G56,1&lt;=Species!$H56),"H",""))&amp;IF(Species!$I56=1,"S","")</f>
        <v/>
      </c>
      <c r="D56" s="153" t="str">
        <f aca="false">IF(Species!$G56&lt;=Species!$H56,IF(AND(2&gt;=Species!$G56,2&lt;=Species!$H56),"H",""),IF(OR(2&gt;=Species!$G56,2&lt;=Species!$H56),"H",""))&amp;IF(Species!$I56=2,"S","")</f>
        <v/>
      </c>
      <c r="E56" s="153" t="str">
        <f aca="false">IF(Species!$G56&lt;=Species!$H56,IF(AND(3&gt;=Species!$G56,3&lt;=Species!$H56),"H",""),IF(OR(3&gt;=Species!$G56,3&lt;=Species!$H56),"H",""))&amp;IF(Species!$I56=3,"S","")</f>
        <v/>
      </c>
      <c r="F56" s="153" t="str">
        <f aca="false">IF(Species!$G56&lt;=Species!$H56,IF(AND(4&gt;=Species!$G56,4&lt;=Species!$H56),"H",""),IF(OR(4&gt;=Species!$G56,4&lt;=Species!$H56),"H",""))&amp;IF(Species!$I56=4,"S","")</f>
        <v/>
      </c>
      <c r="G56" s="153" t="str">
        <f aca="false">IF(Species!$G56&lt;=Species!$H56,IF(AND(5&gt;=Species!$G56,5&lt;=Species!$H56),"H",""),IF(OR(5&gt;=Species!$G56,5&lt;=Species!$H56),"H",""))&amp;IF(Species!$I56=5,"S","")</f>
        <v/>
      </c>
      <c r="H56" s="153" t="str">
        <f aca="false">IF(Species!$G56&lt;=Species!$H56,IF(AND(6&gt;=Species!$G56,6&lt;=Species!$H56),"H",""),IF(OR(6&gt;=Species!$G56,6&lt;=Species!$H56),"H",""))&amp;IF(Species!$I56=6,"S","")</f>
        <v/>
      </c>
      <c r="I56" s="153" t="str">
        <f aca="false">IF(Species!$G56&lt;=Species!$H56,IF(AND(7&gt;=Species!$G56,7&lt;=Species!$H56),"H",""),IF(OR(7&gt;=Species!$G56,7&lt;=Species!$H56),"H",""))&amp;IF(Species!$I56=7,"S","")</f>
        <v/>
      </c>
      <c r="J56" s="153" t="str">
        <f aca="false">IF(Species!$G56&lt;=Species!$H56,IF(AND(8&gt;=Species!$G56,8&lt;=Species!$H56),"H",""),IF(OR(8&gt;=Species!$G56,8&lt;=Species!$H56),"H",""))&amp;IF(Species!$I56=8,"S","")</f>
        <v/>
      </c>
      <c r="K56" s="153" t="str">
        <f aca="false">IF(Species!$G56&lt;=Species!$H56,IF(AND(9&gt;=Species!$G56,9&lt;=Species!$H56),"H",""),IF(OR(9&gt;=Species!$G56,9&lt;=Species!$H56),"H",""))&amp;IF(Species!$I56=9,"S","")</f>
        <v>HS</v>
      </c>
      <c r="L56" s="153" t="str">
        <f aca="false">IF(Species!$G56&lt;=Species!$H56,IF(AND(10&gt;=Species!$G56,10&lt;=Species!$H56),"H",""),IF(OR(10&gt;=Species!$G56,10&lt;=Species!$H56),"H",""))&amp;IF(Species!$I56=10,"S","")</f>
        <v>H</v>
      </c>
      <c r="M56" s="153" t="str">
        <f aca="false">IF(Species!$G56&lt;=Species!$H56,IF(AND(11&gt;=Species!$G56,11&lt;=Species!$H56),"H",""),IF(OR(11&gt;=Species!$G56,11&lt;=Species!$H56),"H",""))&amp;IF(Species!$I56=11,"S","")</f>
        <v/>
      </c>
      <c r="N56" s="153" t="str">
        <f aca="false">IF(Species!$G56&lt;=Species!$H56,IF(AND(12&gt;=Species!$G56,12&lt;=Species!$H56),"H",""),IF(OR(12&gt;=Species!$G56,12&lt;=Species!$H56),"H",""))&amp;IF(Species!$I56=12,"S","")</f>
        <v/>
      </c>
    </row>
    <row r="57" customFormat="false" ht="15" hidden="false" customHeight="false" outlineLevel="0" collapsed="false">
      <c r="A57" s="6" t="str">
        <f aca="false">Species!B57</f>
        <v>Wild Bergamot</v>
      </c>
      <c r="B57" s="6" t="str">
        <f aca="false">Species!F57</f>
        <v>Leaf</v>
      </c>
      <c r="C57" s="153" t="str">
        <f aca="false">IF(Species!$G57&lt;=Species!$H57,IF(AND(1&gt;=Species!$G57,1&lt;=Species!$H57),"H",""),IF(OR(1&gt;=Species!$G57,1&lt;=Species!$H57),"H",""))&amp;IF(Species!$I57=1,"S","")</f>
        <v/>
      </c>
      <c r="D57" s="153" t="str">
        <f aca="false">IF(Species!$G57&lt;=Species!$H57,IF(AND(2&gt;=Species!$G57,2&lt;=Species!$H57),"H",""),IF(OR(2&gt;=Species!$G57,2&lt;=Species!$H57),"H",""))&amp;IF(Species!$I57=2,"S","")</f>
        <v/>
      </c>
      <c r="E57" s="153" t="str">
        <f aca="false">IF(Species!$G57&lt;=Species!$H57,IF(AND(3&gt;=Species!$G57,3&lt;=Species!$H57),"H",""),IF(OR(3&gt;=Species!$G57,3&lt;=Species!$H57),"H",""))&amp;IF(Species!$I57=3,"S","")</f>
        <v/>
      </c>
      <c r="F57" s="153" t="str">
        <f aca="false">IF(Species!$G57&lt;=Species!$H57,IF(AND(4&gt;=Species!$G57,4&lt;=Species!$H57),"H",""),IF(OR(4&gt;=Species!$G57,4&lt;=Species!$H57),"H",""))&amp;IF(Species!$I57=4,"S","")</f>
        <v/>
      </c>
      <c r="G57" s="153" t="str">
        <f aca="false">IF(Species!$G57&lt;=Species!$H57,IF(AND(5&gt;=Species!$G57,5&lt;=Species!$H57),"H",""),IF(OR(5&gt;=Species!$G57,5&lt;=Species!$H57),"H",""))&amp;IF(Species!$I57=5,"S","")</f>
        <v/>
      </c>
      <c r="H57" s="153" t="str">
        <f aca="false">IF(Species!$G57&lt;=Species!$H57,IF(AND(6&gt;=Species!$G57,6&lt;=Species!$H57),"H",""),IF(OR(6&gt;=Species!$G57,6&lt;=Species!$H57),"H",""))&amp;IF(Species!$I57=6,"S","")</f>
        <v>H</v>
      </c>
      <c r="I57" s="153" t="str">
        <f aca="false">IF(Species!$G57&lt;=Species!$H57,IF(AND(7&gt;=Species!$G57,7&lt;=Species!$H57),"H",""),IF(OR(7&gt;=Species!$G57,7&lt;=Species!$H57),"H",""))&amp;IF(Species!$I57=7,"S","")</f>
        <v>H</v>
      </c>
      <c r="J57" s="153" t="str">
        <f aca="false">IF(Species!$G57&lt;=Species!$H57,IF(AND(8&gt;=Species!$G57,8&lt;=Species!$H57),"H",""),IF(OR(8&gt;=Species!$G57,8&lt;=Species!$H57),"H",""))&amp;IF(Species!$I57=8,"S","")</f>
        <v>H</v>
      </c>
      <c r="K57" s="153" t="str">
        <f aca="false">IF(Species!$G57&lt;=Species!$H57,IF(AND(9&gt;=Species!$G57,9&lt;=Species!$H57),"H",""),IF(OR(9&gt;=Species!$G57,9&lt;=Species!$H57),"H",""))&amp;IF(Species!$I57=9,"S","")</f>
        <v>S</v>
      </c>
      <c r="L57" s="153" t="str">
        <f aca="false">IF(Species!$G57&lt;=Species!$H57,IF(AND(10&gt;=Species!$G57,10&lt;=Species!$H57),"H",""),IF(OR(10&gt;=Species!$G57,10&lt;=Species!$H57),"H",""))&amp;IF(Species!$I57=10,"S","")</f>
        <v/>
      </c>
      <c r="M57" s="153" t="str">
        <f aca="false">IF(Species!$G57&lt;=Species!$H57,IF(AND(11&gt;=Species!$G57,11&lt;=Species!$H57),"H",""),IF(OR(11&gt;=Species!$G57,11&lt;=Species!$H57),"H",""))&amp;IF(Species!$I57=11,"S","")</f>
        <v/>
      </c>
      <c r="N57" s="153" t="str">
        <f aca="false">IF(Species!$G57&lt;=Species!$H57,IF(AND(12&gt;=Species!$G57,12&lt;=Species!$H57),"H",""),IF(OR(12&gt;=Species!$G57,12&lt;=Species!$H57),"H",""))&amp;IF(Species!$I57=12,"S","")</f>
        <v/>
      </c>
    </row>
    <row r="58" customFormat="false" ht="15" hidden="false" customHeight="false" outlineLevel="0" collapsed="false">
      <c r="A58" s="6" t="str">
        <f aca="false">Species!B58</f>
        <v>Virginia Mountain Mint</v>
      </c>
      <c r="B58" s="6" t="str">
        <f aca="false">Species!F58</f>
        <v>Leaf</v>
      </c>
      <c r="C58" s="153" t="str">
        <f aca="false">IF(Species!$G58&lt;=Species!$H58,IF(AND(1&gt;=Species!$G58,1&lt;=Species!$H58),"H",""),IF(OR(1&gt;=Species!$G58,1&lt;=Species!$H58),"H",""))&amp;IF(Species!$I58=1,"S","")</f>
        <v/>
      </c>
      <c r="D58" s="153" t="str">
        <f aca="false">IF(Species!$G58&lt;=Species!$H58,IF(AND(2&gt;=Species!$G58,2&lt;=Species!$H58),"H",""),IF(OR(2&gt;=Species!$G58,2&lt;=Species!$H58),"H",""))&amp;IF(Species!$I58=2,"S","")</f>
        <v/>
      </c>
      <c r="E58" s="153" t="str">
        <f aca="false">IF(Species!$G58&lt;=Species!$H58,IF(AND(3&gt;=Species!$G58,3&lt;=Species!$H58),"H",""),IF(OR(3&gt;=Species!$G58,3&lt;=Species!$H58),"H",""))&amp;IF(Species!$I58=3,"S","")</f>
        <v/>
      </c>
      <c r="F58" s="153" t="str">
        <f aca="false">IF(Species!$G58&lt;=Species!$H58,IF(AND(4&gt;=Species!$G58,4&lt;=Species!$H58),"H",""),IF(OR(4&gt;=Species!$G58,4&lt;=Species!$H58),"H",""))&amp;IF(Species!$I58=4,"S","")</f>
        <v/>
      </c>
      <c r="G58" s="153" t="str">
        <f aca="false">IF(Species!$G58&lt;=Species!$H58,IF(AND(5&gt;=Species!$G58,5&lt;=Species!$H58),"H",""),IF(OR(5&gt;=Species!$G58,5&lt;=Species!$H58),"H",""))&amp;IF(Species!$I58=5,"S","")</f>
        <v/>
      </c>
      <c r="H58" s="153" t="str">
        <f aca="false">IF(Species!$G58&lt;=Species!$H58,IF(AND(6&gt;=Species!$G58,6&lt;=Species!$H58),"H",""),IF(OR(6&gt;=Species!$G58,6&lt;=Species!$H58),"H",""))&amp;IF(Species!$I58=6,"S","")</f>
        <v>H</v>
      </c>
      <c r="I58" s="153" t="str">
        <f aca="false">IF(Species!$G58&lt;=Species!$H58,IF(AND(7&gt;=Species!$G58,7&lt;=Species!$H58),"H",""),IF(OR(7&gt;=Species!$G58,7&lt;=Species!$H58),"H",""))&amp;IF(Species!$I58=7,"S","")</f>
        <v>H</v>
      </c>
      <c r="J58" s="153" t="str">
        <f aca="false">IF(Species!$G58&lt;=Species!$H58,IF(AND(8&gt;=Species!$G58,8&lt;=Species!$H58),"H",""),IF(OR(8&gt;=Species!$G58,8&lt;=Species!$H58),"H",""))&amp;IF(Species!$I58=8,"S","")</f>
        <v>H</v>
      </c>
      <c r="K58" s="153" t="str">
        <f aca="false">IF(Species!$G58&lt;=Species!$H58,IF(AND(9&gt;=Species!$G58,9&lt;=Species!$H58),"H",""),IF(OR(9&gt;=Species!$G58,9&lt;=Species!$H58),"H",""))&amp;IF(Species!$I58=9,"S","")</f>
        <v>HS</v>
      </c>
      <c r="L58" s="153" t="str">
        <f aca="false">IF(Species!$G58&lt;=Species!$H58,IF(AND(10&gt;=Species!$G58,10&lt;=Species!$H58),"H",""),IF(OR(10&gt;=Species!$G58,10&lt;=Species!$H58),"H",""))&amp;IF(Species!$I58=10,"S","")</f>
        <v/>
      </c>
      <c r="M58" s="153" t="str">
        <f aca="false">IF(Species!$G58&lt;=Species!$H58,IF(AND(11&gt;=Species!$G58,11&lt;=Species!$H58),"H",""),IF(OR(11&gt;=Species!$G58,11&lt;=Species!$H58),"H",""))&amp;IF(Species!$I58=11,"S","")</f>
        <v/>
      </c>
      <c r="N58" s="153" t="str">
        <f aca="false">IF(Species!$G58&lt;=Species!$H58,IF(AND(12&gt;=Species!$G58,12&lt;=Species!$H58),"H",""),IF(OR(12&gt;=Species!$G58,12&lt;=Species!$H58),"H",""))&amp;IF(Species!$I58=12,"S","")</f>
        <v/>
      </c>
    </row>
    <row r="59" customFormat="false" ht="15" hidden="false" customHeight="false" outlineLevel="0" collapsed="false">
      <c r="A59" s="6" t="str">
        <f aca="false">Species!B59</f>
        <v>Anise Hyssop</v>
      </c>
      <c r="B59" s="6" t="str">
        <f aca="false">Species!F59</f>
        <v>Leaf</v>
      </c>
      <c r="C59" s="153" t="str">
        <f aca="false">IF(Species!$G59&lt;=Species!$H59,IF(AND(1&gt;=Species!$G59,1&lt;=Species!$H59),"H",""),IF(OR(1&gt;=Species!$G59,1&lt;=Species!$H59),"H",""))&amp;IF(Species!$I59=1,"S","")</f>
        <v/>
      </c>
      <c r="D59" s="153" t="str">
        <f aca="false">IF(Species!$G59&lt;=Species!$H59,IF(AND(2&gt;=Species!$G59,2&lt;=Species!$H59),"H",""),IF(OR(2&gt;=Species!$G59,2&lt;=Species!$H59),"H",""))&amp;IF(Species!$I59=2,"S","")</f>
        <v/>
      </c>
      <c r="E59" s="153" t="str">
        <f aca="false">IF(Species!$G59&lt;=Species!$H59,IF(AND(3&gt;=Species!$G59,3&lt;=Species!$H59),"H",""),IF(OR(3&gt;=Species!$G59,3&lt;=Species!$H59),"H",""))&amp;IF(Species!$I59=3,"S","")</f>
        <v/>
      </c>
      <c r="F59" s="153" t="str">
        <f aca="false">IF(Species!$G59&lt;=Species!$H59,IF(AND(4&gt;=Species!$G59,4&lt;=Species!$H59),"H",""),IF(OR(4&gt;=Species!$G59,4&lt;=Species!$H59),"H",""))&amp;IF(Species!$I59=4,"S","")</f>
        <v/>
      </c>
      <c r="G59" s="153" t="str">
        <f aca="false">IF(Species!$G59&lt;=Species!$H59,IF(AND(5&gt;=Species!$G59,5&lt;=Species!$H59),"H",""),IF(OR(5&gt;=Species!$G59,5&lt;=Species!$H59),"H",""))&amp;IF(Species!$I59=5,"S","")</f>
        <v/>
      </c>
      <c r="H59" s="153" t="str">
        <f aca="false">IF(Species!$G59&lt;=Species!$H59,IF(AND(6&gt;=Species!$G59,6&lt;=Species!$H59),"H",""),IF(OR(6&gt;=Species!$G59,6&lt;=Species!$H59),"H",""))&amp;IF(Species!$I59=6,"S","")</f>
        <v>H</v>
      </c>
      <c r="I59" s="153" t="str">
        <f aca="false">IF(Species!$G59&lt;=Species!$H59,IF(AND(7&gt;=Species!$G59,7&lt;=Species!$H59),"H",""),IF(OR(7&gt;=Species!$G59,7&lt;=Species!$H59),"H",""))&amp;IF(Species!$I59=7,"S","")</f>
        <v>H</v>
      </c>
      <c r="J59" s="153" t="str">
        <f aca="false">IF(Species!$G59&lt;=Species!$H59,IF(AND(8&gt;=Species!$G59,8&lt;=Species!$H59),"H",""),IF(OR(8&gt;=Species!$G59,8&lt;=Species!$H59),"H",""))&amp;IF(Species!$I59=8,"S","")</f>
        <v>H</v>
      </c>
      <c r="K59" s="153" t="str">
        <f aca="false">IF(Species!$G59&lt;=Species!$H59,IF(AND(9&gt;=Species!$G59,9&lt;=Species!$H59),"H",""),IF(OR(9&gt;=Species!$G59,9&lt;=Species!$H59),"H",""))&amp;IF(Species!$I59=9,"S","")</f>
        <v>HS</v>
      </c>
      <c r="L59" s="153" t="str">
        <f aca="false">IF(Species!$G59&lt;=Species!$H59,IF(AND(10&gt;=Species!$G59,10&lt;=Species!$H59),"H",""),IF(OR(10&gt;=Species!$G59,10&lt;=Species!$H59),"H",""))&amp;IF(Species!$I59=10,"S","")</f>
        <v/>
      </c>
      <c r="M59" s="153" t="str">
        <f aca="false">IF(Species!$G59&lt;=Species!$H59,IF(AND(11&gt;=Species!$G59,11&lt;=Species!$H59),"H",""),IF(OR(11&gt;=Species!$G59,11&lt;=Species!$H59),"H",""))&amp;IF(Species!$I59=11,"S","")</f>
        <v/>
      </c>
      <c r="N59" s="153" t="str">
        <f aca="false">IF(Species!$G59&lt;=Species!$H59,IF(AND(12&gt;=Species!$G59,12&lt;=Species!$H59),"H",""),IF(OR(12&gt;=Species!$G59,12&lt;=Species!$H59),"H",""))&amp;IF(Species!$I59=12,"S","")</f>
        <v/>
      </c>
    </row>
    <row r="60" customFormat="false" ht="15" hidden="false" customHeight="false" outlineLevel="0" collapsed="false">
      <c r="A60" s="6" t="str">
        <f aca="false">Species!B60</f>
        <v>Wild Ginger</v>
      </c>
      <c r="B60" s="6" t="str">
        <f aca="false">Species!F60</f>
        <v>Rhizome</v>
      </c>
      <c r="C60" s="153" t="str">
        <f aca="false">IF(Species!$G60&lt;=Species!$H60,IF(AND(1&gt;=Species!$G60,1&lt;=Species!$H60),"H",""),IF(OR(1&gt;=Species!$G60,1&lt;=Species!$H60),"H",""))&amp;IF(Species!$I60=1,"S","")</f>
        <v/>
      </c>
      <c r="D60" s="153" t="str">
        <f aca="false">IF(Species!$G60&lt;=Species!$H60,IF(AND(2&gt;=Species!$G60,2&lt;=Species!$H60),"H",""),IF(OR(2&gt;=Species!$G60,2&lt;=Species!$H60),"H",""))&amp;IF(Species!$I60=2,"S","")</f>
        <v/>
      </c>
      <c r="E60" s="153" t="str">
        <f aca="false">IF(Species!$G60&lt;=Species!$H60,IF(AND(3&gt;=Species!$G60,3&lt;=Species!$H60),"H",""),IF(OR(3&gt;=Species!$G60,3&lt;=Species!$H60),"H",""))&amp;IF(Species!$I60=3,"S","")</f>
        <v/>
      </c>
      <c r="F60" s="153" t="str">
        <f aca="false">IF(Species!$G60&lt;=Species!$H60,IF(AND(4&gt;=Species!$G60,4&lt;=Species!$H60),"H",""),IF(OR(4&gt;=Species!$G60,4&lt;=Species!$H60),"H",""))&amp;IF(Species!$I60=4,"S","")</f>
        <v>H</v>
      </c>
      <c r="G60" s="153" t="str">
        <f aca="false">IF(Species!$G60&lt;=Species!$H60,IF(AND(5&gt;=Species!$G60,5&lt;=Species!$H60),"H",""),IF(OR(5&gt;=Species!$G60,5&lt;=Species!$H60),"H",""))&amp;IF(Species!$I60=5,"S","")</f>
        <v>H</v>
      </c>
      <c r="H60" s="153" t="str">
        <f aca="false">IF(Species!$G60&lt;=Species!$H60,IF(AND(6&gt;=Species!$G60,6&lt;=Species!$H60),"H",""),IF(OR(6&gt;=Species!$G60,6&lt;=Species!$H60),"H",""))&amp;IF(Species!$I60=6,"S","")</f>
        <v>HS</v>
      </c>
      <c r="I60" s="153" t="str">
        <f aca="false">IF(Species!$G60&lt;=Species!$H60,IF(AND(7&gt;=Species!$G60,7&lt;=Species!$H60),"H",""),IF(OR(7&gt;=Species!$G60,7&lt;=Species!$H60),"H",""))&amp;IF(Species!$I60=7,"S","")</f>
        <v>H</v>
      </c>
      <c r="J60" s="153" t="str">
        <f aca="false">IF(Species!$G60&lt;=Species!$H60,IF(AND(8&gt;=Species!$G60,8&lt;=Species!$H60),"H",""),IF(OR(8&gt;=Species!$G60,8&lt;=Species!$H60),"H",""))&amp;IF(Species!$I60=8,"S","")</f>
        <v>H</v>
      </c>
      <c r="K60" s="153" t="str">
        <f aca="false">IF(Species!$G60&lt;=Species!$H60,IF(AND(9&gt;=Species!$G60,9&lt;=Species!$H60),"H",""),IF(OR(9&gt;=Species!$G60,9&lt;=Species!$H60),"H",""))&amp;IF(Species!$I60=9,"S","")</f>
        <v>H</v>
      </c>
      <c r="L60" s="153" t="str">
        <f aca="false">IF(Species!$G60&lt;=Species!$H60,IF(AND(10&gt;=Species!$G60,10&lt;=Species!$H60),"H",""),IF(OR(10&gt;=Species!$G60,10&lt;=Species!$H60),"H",""))&amp;IF(Species!$I60=10,"S","")</f>
        <v>H</v>
      </c>
      <c r="M60" s="153" t="str">
        <f aca="false">IF(Species!$G60&lt;=Species!$H60,IF(AND(11&gt;=Species!$G60,11&lt;=Species!$H60),"H",""),IF(OR(11&gt;=Species!$G60,11&lt;=Species!$H60),"H",""))&amp;IF(Species!$I60=11,"S","")</f>
        <v/>
      </c>
      <c r="N60" s="153" t="str">
        <f aca="false">IF(Species!$G60&lt;=Species!$H60,IF(AND(12&gt;=Species!$G60,12&lt;=Species!$H60),"H",""),IF(OR(12&gt;=Species!$G60,12&lt;=Species!$H60),"H",""))&amp;IF(Species!$I60=12,"S","")</f>
        <v/>
      </c>
    </row>
    <row r="61" customFormat="false" ht="15" hidden="false" customHeight="false" outlineLevel="0" collapsed="false">
      <c r="A61" s="6" t="str">
        <f aca="false">Species!B61</f>
        <v>Mayapple Rhizome</v>
      </c>
      <c r="B61" s="6" t="str">
        <f aca="false">Species!F61</f>
        <v>Rhizome</v>
      </c>
      <c r="C61" s="153" t="str">
        <f aca="false">IF(Species!$G61&lt;=Species!$H61,IF(AND(1&gt;=Species!$G61,1&lt;=Species!$H61),"H",""),IF(OR(1&gt;=Species!$G61,1&lt;=Species!$H61),"H",""))&amp;IF(Species!$I61=1,"S","")</f>
        <v/>
      </c>
      <c r="D61" s="153" t="str">
        <f aca="false">IF(Species!$G61&lt;=Species!$H61,IF(AND(2&gt;=Species!$G61,2&lt;=Species!$H61),"H",""),IF(OR(2&gt;=Species!$G61,2&lt;=Species!$H61),"H",""))&amp;IF(Species!$I61=2,"S","")</f>
        <v/>
      </c>
      <c r="E61" s="153" t="str">
        <f aca="false">IF(Species!$G61&lt;=Species!$H61,IF(AND(3&gt;=Species!$G61,3&lt;=Species!$H61),"H",""),IF(OR(3&gt;=Species!$G61,3&lt;=Species!$H61),"H",""))&amp;IF(Species!$I61=3,"S","")</f>
        <v/>
      </c>
      <c r="F61" s="153" t="str">
        <f aca="false">IF(Species!$G61&lt;=Species!$H61,IF(AND(4&gt;=Species!$G61,4&lt;=Species!$H61),"H",""),IF(OR(4&gt;=Species!$G61,4&lt;=Species!$H61),"H",""))&amp;IF(Species!$I61=4,"S","")</f>
        <v/>
      </c>
      <c r="G61" s="153" t="str">
        <f aca="false">IF(Species!$G61&lt;=Species!$H61,IF(AND(5&gt;=Species!$G61,5&lt;=Species!$H61),"H",""),IF(OR(5&gt;=Species!$G61,5&lt;=Species!$H61),"H",""))&amp;IF(Species!$I61=5,"S","")</f>
        <v/>
      </c>
      <c r="H61" s="153" t="str">
        <f aca="false">IF(Species!$G61&lt;=Species!$H61,IF(AND(6&gt;=Species!$G61,6&lt;=Species!$H61),"H",""),IF(OR(6&gt;=Species!$G61,6&lt;=Species!$H61),"H",""))&amp;IF(Species!$I61=6,"S","")</f>
        <v/>
      </c>
      <c r="I61" s="153" t="str">
        <f aca="false">IF(Species!$G61&lt;=Species!$H61,IF(AND(7&gt;=Species!$G61,7&lt;=Species!$H61),"H",""),IF(OR(7&gt;=Species!$G61,7&lt;=Species!$H61),"H",""))&amp;IF(Species!$I61=7,"S","")</f>
        <v>S</v>
      </c>
      <c r="J61" s="153" t="str">
        <f aca="false">IF(Species!$G61&lt;=Species!$H61,IF(AND(8&gt;=Species!$G61,8&lt;=Species!$H61),"H",""),IF(OR(8&gt;=Species!$G61,8&lt;=Species!$H61),"H",""))&amp;IF(Species!$I61=8,"S","")</f>
        <v/>
      </c>
      <c r="K61" s="153" t="str">
        <f aca="false">IF(Species!$G61&lt;=Species!$H61,IF(AND(9&gt;=Species!$G61,9&lt;=Species!$H61),"H",""),IF(OR(9&gt;=Species!$G61,9&lt;=Species!$H61),"H",""))&amp;IF(Species!$I61=9,"S","")</f>
        <v>H</v>
      </c>
      <c r="L61" s="153" t="str">
        <f aca="false">IF(Species!$G61&lt;=Species!$H61,IF(AND(10&gt;=Species!$G61,10&lt;=Species!$H61),"H",""),IF(OR(10&gt;=Species!$G61,10&lt;=Species!$H61),"H",""))&amp;IF(Species!$I61=10,"S","")</f>
        <v>H</v>
      </c>
      <c r="M61" s="153" t="str">
        <f aca="false">IF(Species!$G61&lt;=Species!$H61,IF(AND(11&gt;=Species!$G61,11&lt;=Species!$H61),"H",""),IF(OR(11&gt;=Species!$G61,11&lt;=Species!$H61),"H",""))&amp;IF(Species!$I61=11,"S","")</f>
        <v/>
      </c>
      <c r="N61" s="153" t="str">
        <f aca="false">IF(Species!$G61&lt;=Species!$H61,IF(AND(12&gt;=Species!$G61,12&lt;=Species!$H61),"H",""),IF(OR(12&gt;=Species!$G61,12&lt;=Species!$H61),"H",""))&amp;IF(Species!$I61=12,"S","")</f>
        <v/>
      </c>
    </row>
    <row r="62" customFormat="false" ht="15" hidden="false" customHeight="false" outlineLevel="0" collapsed="false">
      <c r="A62" s="6" t="str">
        <f aca="false">Species!B62</f>
        <v>Mayapple Fruit</v>
      </c>
      <c r="B62" s="6" t="str">
        <f aca="false">Species!F62</f>
        <v>Fruit</v>
      </c>
      <c r="C62" s="153" t="str">
        <f aca="false">IF(Species!$G62&lt;=Species!$H62,IF(AND(1&gt;=Species!$G62,1&lt;=Species!$H62),"H",""),IF(OR(1&gt;=Species!$G62,1&lt;=Species!$H62),"H",""))&amp;IF(Species!$I62=1,"S","")</f>
        <v/>
      </c>
      <c r="D62" s="153" t="str">
        <f aca="false">IF(Species!$G62&lt;=Species!$H62,IF(AND(2&gt;=Species!$G62,2&lt;=Species!$H62),"H",""),IF(OR(2&gt;=Species!$G62,2&lt;=Species!$H62),"H",""))&amp;IF(Species!$I62=2,"S","")</f>
        <v/>
      </c>
      <c r="E62" s="153" t="str">
        <f aca="false">IF(Species!$G62&lt;=Species!$H62,IF(AND(3&gt;=Species!$G62,3&lt;=Species!$H62),"H",""),IF(OR(3&gt;=Species!$G62,3&lt;=Species!$H62),"H",""))&amp;IF(Species!$I62=3,"S","")</f>
        <v/>
      </c>
      <c r="F62" s="153" t="str">
        <f aca="false">IF(Species!$G62&lt;=Species!$H62,IF(AND(4&gt;=Species!$G62,4&lt;=Species!$H62),"H",""),IF(OR(4&gt;=Species!$G62,4&lt;=Species!$H62),"H",""))&amp;IF(Species!$I62=4,"S","")</f>
        <v/>
      </c>
      <c r="G62" s="153" t="str">
        <f aca="false">IF(Species!$G62&lt;=Species!$H62,IF(AND(5&gt;=Species!$G62,5&lt;=Species!$H62),"H",""),IF(OR(5&gt;=Species!$G62,5&lt;=Species!$H62),"H",""))&amp;IF(Species!$I62=5,"S","")</f>
        <v/>
      </c>
      <c r="H62" s="153" t="str">
        <f aca="false">IF(Species!$G62&lt;=Species!$H62,IF(AND(6&gt;=Species!$G62,6&lt;=Species!$H62),"H",""),IF(OR(6&gt;=Species!$G62,6&lt;=Species!$H62),"H",""))&amp;IF(Species!$I62=6,"S","")</f>
        <v/>
      </c>
      <c r="I62" s="153" t="str">
        <f aca="false">IF(Species!$G62&lt;=Species!$H62,IF(AND(7&gt;=Species!$G62,7&lt;=Species!$H62),"H",""),IF(OR(7&gt;=Species!$G62,7&lt;=Species!$H62),"H",""))&amp;IF(Species!$I62=7,"S","")</f>
        <v>H</v>
      </c>
      <c r="J62" s="153" t="str">
        <f aca="false">IF(Species!$G62&lt;=Species!$H62,IF(AND(8&gt;=Species!$G62,8&lt;=Species!$H62),"H",""),IF(OR(8&gt;=Species!$G62,8&lt;=Species!$H62),"H",""))&amp;IF(Species!$I62=8,"S","")</f>
        <v>H</v>
      </c>
      <c r="K62" s="153" t="str">
        <f aca="false">IF(Species!$G62&lt;=Species!$H62,IF(AND(9&gt;=Species!$G62,9&lt;=Species!$H62),"H",""),IF(OR(9&gt;=Species!$G62,9&lt;=Species!$H62),"H",""))&amp;IF(Species!$I62=9,"S","")</f>
        <v/>
      </c>
      <c r="L62" s="153" t="str">
        <f aca="false">IF(Species!$G62&lt;=Species!$H62,IF(AND(10&gt;=Species!$G62,10&lt;=Species!$H62),"H",""),IF(OR(10&gt;=Species!$G62,10&lt;=Species!$H62),"H",""))&amp;IF(Species!$I62=10,"S","")</f>
        <v/>
      </c>
      <c r="M62" s="153" t="str">
        <f aca="false">IF(Species!$G62&lt;=Species!$H62,IF(AND(11&gt;=Species!$G62,11&lt;=Species!$H62),"H",""),IF(OR(11&gt;=Species!$G62,11&lt;=Species!$H62),"H",""))&amp;IF(Species!$I62=11,"S","")</f>
        <v/>
      </c>
      <c r="N62" s="153" t="str">
        <f aca="false">IF(Species!$G62&lt;=Species!$H62,IF(AND(12&gt;=Species!$G62,12&lt;=Species!$H62),"H",""),IF(OR(12&gt;=Species!$G62,12&lt;=Species!$H62),"H",""))&amp;IF(Species!$I62=12,"S","")</f>
        <v/>
      </c>
    </row>
    <row r="63" customFormat="false" ht="15" hidden="false" customHeight="false" outlineLevel="0" collapsed="false">
      <c r="A63" s="6" t="str">
        <f aca="false">Species!B63</f>
        <v>Bloodroot</v>
      </c>
      <c r="B63" s="6" t="str">
        <f aca="false">Species!F63</f>
        <v>Rhizome</v>
      </c>
      <c r="C63" s="153" t="str">
        <f aca="false">IF(Species!$G63&lt;=Species!$H63,IF(AND(1&gt;=Species!$G63,1&lt;=Species!$H63),"H",""),IF(OR(1&gt;=Species!$G63,1&lt;=Species!$H63),"H",""))&amp;IF(Species!$I63=1,"S","")</f>
        <v/>
      </c>
      <c r="D63" s="153" t="str">
        <f aca="false">IF(Species!$G63&lt;=Species!$H63,IF(AND(2&gt;=Species!$G63,2&lt;=Species!$H63),"H",""),IF(OR(2&gt;=Species!$G63,2&lt;=Species!$H63),"H",""))&amp;IF(Species!$I63=2,"S","")</f>
        <v/>
      </c>
      <c r="E63" s="153" t="str">
        <f aca="false">IF(Species!$G63&lt;=Species!$H63,IF(AND(3&gt;=Species!$G63,3&lt;=Species!$H63),"H",""),IF(OR(3&gt;=Species!$G63,3&lt;=Species!$H63),"H",""))&amp;IF(Species!$I63=3,"S","")</f>
        <v>H</v>
      </c>
      <c r="F63" s="153" t="str">
        <f aca="false">IF(Species!$G63&lt;=Species!$H63,IF(AND(4&gt;=Species!$G63,4&lt;=Species!$H63),"H",""),IF(OR(4&gt;=Species!$G63,4&lt;=Species!$H63),"H",""))&amp;IF(Species!$I63=4,"S","")</f>
        <v>H</v>
      </c>
      <c r="G63" s="153" t="str">
        <f aca="false">IF(Species!$G63&lt;=Species!$H63,IF(AND(5&gt;=Species!$G63,5&lt;=Species!$H63),"H",""),IF(OR(5&gt;=Species!$G63,5&lt;=Species!$H63),"H",""))&amp;IF(Species!$I63=5,"S","")</f>
        <v>S</v>
      </c>
      <c r="H63" s="153" t="str">
        <f aca="false">IF(Species!$G63&lt;=Species!$H63,IF(AND(6&gt;=Species!$G63,6&lt;=Species!$H63),"H",""),IF(OR(6&gt;=Species!$G63,6&lt;=Species!$H63),"H",""))&amp;IF(Species!$I63=6,"S","")</f>
        <v/>
      </c>
      <c r="I63" s="153" t="str">
        <f aca="false">IF(Species!$G63&lt;=Species!$H63,IF(AND(7&gt;=Species!$G63,7&lt;=Species!$H63),"H",""),IF(OR(7&gt;=Species!$G63,7&lt;=Species!$H63),"H",""))&amp;IF(Species!$I63=7,"S","")</f>
        <v/>
      </c>
      <c r="J63" s="153" t="str">
        <f aca="false">IF(Species!$G63&lt;=Species!$H63,IF(AND(8&gt;=Species!$G63,8&lt;=Species!$H63),"H",""),IF(OR(8&gt;=Species!$G63,8&lt;=Species!$H63),"H",""))&amp;IF(Species!$I63=8,"S","")</f>
        <v/>
      </c>
      <c r="K63" s="153" t="str">
        <f aca="false">IF(Species!$G63&lt;=Species!$H63,IF(AND(9&gt;=Species!$G63,9&lt;=Species!$H63),"H",""),IF(OR(9&gt;=Species!$G63,9&lt;=Species!$H63),"H",""))&amp;IF(Species!$I63=9,"S","")</f>
        <v/>
      </c>
      <c r="L63" s="153" t="str">
        <f aca="false">IF(Species!$G63&lt;=Species!$H63,IF(AND(10&gt;=Species!$G63,10&lt;=Species!$H63),"H",""),IF(OR(10&gt;=Species!$G63,10&lt;=Species!$H63),"H",""))&amp;IF(Species!$I63=10,"S","")</f>
        <v/>
      </c>
      <c r="M63" s="153" t="str">
        <f aca="false">IF(Species!$G63&lt;=Species!$H63,IF(AND(11&gt;=Species!$G63,11&lt;=Species!$H63),"H",""),IF(OR(11&gt;=Species!$G63,11&lt;=Species!$H63),"H",""))&amp;IF(Species!$I63=11,"S","")</f>
        <v/>
      </c>
      <c r="N63" s="153" t="str">
        <f aca="false">IF(Species!$G63&lt;=Species!$H63,IF(AND(12&gt;=Species!$G63,12&lt;=Species!$H63),"H",""),IF(OR(12&gt;=Species!$G63,12&lt;=Species!$H63),"H",""))&amp;IF(Species!$I63=12,"S","")</f>
        <v/>
      </c>
    </row>
    <row r="64" customFormat="false" ht="15" hidden="false" customHeight="false" outlineLevel="0" collapsed="false">
      <c r="A64" s="6" t="str">
        <f aca="false">Species!B64</f>
        <v>Goldenseal</v>
      </c>
      <c r="B64" s="6" t="str">
        <f aca="false">Species!F64</f>
        <v>Rhizome</v>
      </c>
      <c r="C64" s="153" t="str">
        <f aca="false">IF(Species!$G64&lt;=Species!$H64,IF(AND(1&gt;=Species!$G64,1&lt;=Species!$H64),"H",""),IF(OR(1&gt;=Species!$G64,1&lt;=Species!$H64),"H",""))&amp;IF(Species!$I64=1,"S","")</f>
        <v/>
      </c>
      <c r="D64" s="153" t="str">
        <f aca="false">IF(Species!$G64&lt;=Species!$H64,IF(AND(2&gt;=Species!$G64,2&lt;=Species!$H64),"H",""),IF(OR(2&gt;=Species!$G64,2&lt;=Species!$H64),"H",""))&amp;IF(Species!$I64=2,"S","")</f>
        <v/>
      </c>
      <c r="E64" s="153" t="str">
        <f aca="false">IF(Species!$G64&lt;=Species!$H64,IF(AND(3&gt;=Species!$G64,3&lt;=Species!$H64),"H",""),IF(OR(3&gt;=Species!$G64,3&lt;=Species!$H64),"H",""))&amp;IF(Species!$I64=3,"S","")</f>
        <v/>
      </c>
      <c r="F64" s="153" t="str">
        <f aca="false">IF(Species!$G64&lt;=Species!$H64,IF(AND(4&gt;=Species!$G64,4&lt;=Species!$H64),"H",""),IF(OR(4&gt;=Species!$G64,4&lt;=Species!$H64),"H",""))&amp;IF(Species!$I64=4,"S","")</f>
        <v/>
      </c>
      <c r="G64" s="153" t="str">
        <f aca="false">IF(Species!$G64&lt;=Species!$H64,IF(AND(5&gt;=Species!$G64,5&lt;=Species!$H64),"H",""),IF(OR(5&gt;=Species!$G64,5&lt;=Species!$H64),"H",""))&amp;IF(Species!$I64=5,"S","")</f>
        <v/>
      </c>
      <c r="H64" s="153" t="str">
        <f aca="false">IF(Species!$G64&lt;=Species!$H64,IF(AND(6&gt;=Species!$G64,6&lt;=Species!$H64),"H",""),IF(OR(6&gt;=Species!$G64,6&lt;=Species!$H64),"H",""))&amp;IF(Species!$I64=6,"S","")</f>
        <v/>
      </c>
      <c r="I64" s="153" t="str">
        <f aca="false">IF(Species!$G64&lt;=Species!$H64,IF(AND(7&gt;=Species!$G64,7&lt;=Species!$H64),"H",""),IF(OR(7&gt;=Species!$G64,7&lt;=Species!$H64),"H",""))&amp;IF(Species!$I64=7,"S","")</f>
        <v>S</v>
      </c>
      <c r="J64" s="153" t="str">
        <f aca="false">IF(Species!$G64&lt;=Species!$H64,IF(AND(8&gt;=Species!$G64,8&lt;=Species!$H64),"H",""),IF(OR(8&gt;=Species!$G64,8&lt;=Species!$H64),"H",""))&amp;IF(Species!$I64=8,"S","")</f>
        <v/>
      </c>
      <c r="K64" s="153" t="str">
        <f aca="false">IF(Species!$G64&lt;=Species!$H64,IF(AND(9&gt;=Species!$G64,9&lt;=Species!$H64),"H",""),IF(OR(9&gt;=Species!$G64,9&lt;=Species!$H64),"H",""))&amp;IF(Species!$I64=9,"S","")</f>
        <v>H</v>
      </c>
      <c r="L64" s="153" t="str">
        <f aca="false">IF(Species!$G64&lt;=Species!$H64,IF(AND(10&gt;=Species!$G64,10&lt;=Species!$H64),"H",""),IF(OR(10&gt;=Species!$G64,10&lt;=Species!$H64),"H",""))&amp;IF(Species!$I64=10,"S","")</f>
        <v>H</v>
      </c>
      <c r="M64" s="153" t="str">
        <f aca="false">IF(Species!$G64&lt;=Species!$H64,IF(AND(11&gt;=Species!$G64,11&lt;=Species!$H64),"H",""),IF(OR(11&gt;=Species!$G64,11&lt;=Species!$H64),"H",""))&amp;IF(Species!$I64=11,"S","")</f>
        <v/>
      </c>
      <c r="N64" s="153" t="str">
        <f aca="false">IF(Species!$G64&lt;=Species!$H64,IF(AND(12&gt;=Species!$G64,12&lt;=Species!$H64),"H",""),IF(OR(12&gt;=Species!$G64,12&lt;=Species!$H64),"H",""))&amp;IF(Species!$I64=12,"S","")</f>
        <v/>
      </c>
    </row>
    <row r="65" customFormat="false" ht="15" hidden="false" customHeight="false" outlineLevel="0" collapsed="false">
      <c r="A65" s="6" t="str">
        <f aca="false">Species!B65</f>
        <v>American Ginseng</v>
      </c>
      <c r="B65" s="6" t="str">
        <f aca="false">Species!F65</f>
        <v>Root</v>
      </c>
      <c r="C65" s="153" t="str">
        <f aca="false">IF(Species!$G65&lt;=Species!$H65,IF(AND(1&gt;=Species!$G65,1&lt;=Species!$H65),"H",""),IF(OR(1&gt;=Species!$G65,1&lt;=Species!$H65),"H",""))&amp;IF(Species!$I65=1,"S","")</f>
        <v/>
      </c>
      <c r="D65" s="153" t="str">
        <f aca="false">IF(Species!$G65&lt;=Species!$H65,IF(AND(2&gt;=Species!$G65,2&lt;=Species!$H65),"H",""),IF(OR(2&gt;=Species!$G65,2&lt;=Species!$H65),"H",""))&amp;IF(Species!$I65=2,"S","")</f>
        <v/>
      </c>
      <c r="E65" s="153" t="str">
        <f aca="false">IF(Species!$G65&lt;=Species!$H65,IF(AND(3&gt;=Species!$G65,3&lt;=Species!$H65),"H",""),IF(OR(3&gt;=Species!$G65,3&lt;=Species!$H65),"H",""))&amp;IF(Species!$I65=3,"S","")</f>
        <v/>
      </c>
      <c r="F65" s="153" t="str">
        <f aca="false">IF(Species!$G65&lt;=Species!$H65,IF(AND(4&gt;=Species!$G65,4&lt;=Species!$H65),"H",""),IF(OR(4&gt;=Species!$G65,4&lt;=Species!$H65),"H",""))&amp;IF(Species!$I65=4,"S","")</f>
        <v/>
      </c>
      <c r="G65" s="153" t="str">
        <f aca="false">IF(Species!$G65&lt;=Species!$H65,IF(AND(5&gt;=Species!$G65,5&lt;=Species!$H65),"H",""),IF(OR(5&gt;=Species!$G65,5&lt;=Species!$H65),"H",""))&amp;IF(Species!$I65=5,"S","")</f>
        <v/>
      </c>
      <c r="H65" s="153" t="str">
        <f aca="false">IF(Species!$G65&lt;=Species!$H65,IF(AND(6&gt;=Species!$G65,6&lt;=Species!$H65),"H",""),IF(OR(6&gt;=Species!$G65,6&lt;=Species!$H65),"H",""))&amp;IF(Species!$I65=6,"S","")</f>
        <v/>
      </c>
      <c r="I65" s="153" t="str">
        <f aca="false">IF(Species!$G65&lt;=Species!$H65,IF(AND(7&gt;=Species!$G65,7&lt;=Species!$H65),"H",""),IF(OR(7&gt;=Species!$G65,7&lt;=Species!$H65),"H",""))&amp;IF(Species!$I65=7,"S","")</f>
        <v/>
      </c>
      <c r="J65" s="153" t="str">
        <f aca="false">IF(Species!$G65&lt;=Species!$H65,IF(AND(8&gt;=Species!$G65,8&lt;=Species!$H65),"H",""),IF(OR(8&gt;=Species!$G65,8&lt;=Species!$H65),"H",""))&amp;IF(Species!$I65=8,"S","")</f>
        <v/>
      </c>
      <c r="K65" s="153" t="str">
        <f aca="false">IF(Species!$G65&lt;=Species!$H65,IF(AND(9&gt;=Species!$G65,9&lt;=Species!$H65),"H",""),IF(OR(9&gt;=Species!$G65,9&lt;=Species!$H65),"H",""))&amp;IF(Species!$I65=9,"S","")</f>
        <v>HS</v>
      </c>
      <c r="L65" s="153" t="str">
        <f aca="false">IF(Species!$G65&lt;=Species!$H65,IF(AND(10&gt;=Species!$G65,10&lt;=Species!$H65),"H",""),IF(OR(10&gt;=Species!$G65,10&lt;=Species!$H65),"H",""))&amp;IF(Species!$I65=10,"S","")</f>
        <v>H</v>
      </c>
      <c r="M65" s="153" t="str">
        <f aca="false">IF(Species!$G65&lt;=Species!$H65,IF(AND(11&gt;=Species!$G65,11&lt;=Species!$H65),"H",""),IF(OR(11&gt;=Species!$G65,11&lt;=Species!$H65),"H",""))&amp;IF(Species!$I65=11,"S","")</f>
        <v/>
      </c>
      <c r="N65" s="153" t="str">
        <f aca="false">IF(Species!$G65&lt;=Species!$H65,IF(AND(12&gt;=Species!$G65,12&lt;=Species!$H65),"H",""),IF(OR(12&gt;=Species!$G65,12&lt;=Species!$H65),"H",""))&amp;IF(Species!$I65=12,"S","")</f>
        <v/>
      </c>
    </row>
    <row r="66" customFormat="false" ht="15" hidden="false" customHeight="false" outlineLevel="0" collapsed="false">
      <c r="A66" s="6" t="str">
        <f aca="false">Species!B66</f>
        <v>Black Cohosh</v>
      </c>
      <c r="B66" s="6" t="str">
        <f aca="false">Species!F66</f>
        <v>Root</v>
      </c>
      <c r="C66" s="153" t="str">
        <f aca="false">IF(Species!$G66&lt;=Species!$H66,IF(AND(1&gt;=Species!$G66,1&lt;=Species!$H66),"H",""),IF(OR(1&gt;=Species!$G66,1&lt;=Species!$H66),"H",""))&amp;IF(Species!$I66=1,"S","")</f>
        <v/>
      </c>
      <c r="D66" s="153" t="str">
        <f aca="false">IF(Species!$G66&lt;=Species!$H66,IF(AND(2&gt;=Species!$G66,2&lt;=Species!$H66),"H",""),IF(OR(2&gt;=Species!$G66,2&lt;=Species!$H66),"H",""))&amp;IF(Species!$I66=2,"S","")</f>
        <v/>
      </c>
      <c r="E66" s="153" t="str">
        <f aca="false">IF(Species!$G66&lt;=Species!$H66,IF(AND(3&gt;=Species!$G66,3&lt;=Species!$H66),"H",""),IF(OR(3&gt;=Species!$G66,3&lt;=Species!$H66),"H",""))&amp;IF(Species!$I66=3,"S","")</f>
        <v/>
      </c>
      <c r="F66" s="153" t="str">
        <f aca="false">IF(Species!$G66&lt;=Species!$H66,IF(AND(4&gt;=Species!$G66,4&lt;=Species!$H66),"H",""),IF(OR(4&gt;=Species!$G66,4&lt;=Species!$H66),"H",""))&amp;IF(Species!$I66=4,"S","")</f>
        <v/>
      </c>
      <c r="G66" s="153" t="str">
        <f aca="false">IF(Species!$G66&lt;=Species!$H66,IF(AND(5&gt;=Species!$G66,5&lt;=Species!$H66),"H",""),IF(OR(5&gt;=Species!$G66,5&lt;=Species!$H66),"H",""))&amp;IF(Species!$I66=5,"S","")</f>
        <v/>
      </c>
      <c r="H66" s="153" t="str">
        <f aca="false">IF(Species!$G66&lt;=Species!$H66,IF(AND(6&gt;=Species!$G66,6&lt;=Species!$H66),"H",""),IF(OR(6&gt;=Species!$G66,6&lt;=Species!$H66),"H",""))&amp;IF(Species!$I66=6,"S","")</f>
        <v/>
      </c>
      <c r="I66" s="153" t="str">
        <f aca="false">IF(Species!$G66&lt;=Species!$H66,IF(AND(7&gt;=Species!$G66,7&lt;=Species!$H66),"H",""),IF(OR(7&gt;=Species!$G66,7&lt;=Species!$H66),"H",""))&amp;IF(Species!$I66=7,"S","")</f>
        <v/>
      </c>
      <c r="J66" s="153" t="str">
        <f aca="false">IF(Species!$G66&lt;=Species!$H66,IF(AND(8&gt;=Species!$G66,8&lt;=Species!$H66),"H",""),IF(OR(8&gt;=Species!$G66,8&lt;=Species!$H66),"H",""))&amp;IF(Species!$I66=8,"S","")</f>
        <v/>
      </c>
      <c r="K66" s="153" t="str">
        <f aca="false">IF(Species!$G66&lt;=Species!$H66,IF(AND(9&gt;=Species!$G66,9&lt;=Species!$H66),"H",""),IF(OR(9&gt;=Species!$G66,9&lt;=Species!$H66),"H",""))&amp;IF(Species!$I66=9,"S","")</f>
        <v>HS</v>
      </c>
      <c r="L66" s="153" t="str">
        <f aca="false">IF(Species!$G66&lt;=Species!$H66,IF(AND(10&gt;=Species!$G66,10&lt;=Species!$H66),"H",""),IF(OR(10&gt;=Species!$G66,10&lt;=Species!$H66),"H",""))&amp;IF(Species!$I66=10,"S","")</f>
        <v>H</v>
      </c>
      <c r="M66" s="153" t="str">
        <f aca="false">IF(Species!$G66&lt;=Species!$H66,IF(AND(11&gt;=Species!$G66,11&lt;=Species!$H66),"H",""),IF(OR(11&gt;=Species!$G66,11&lt;=Species!$H66),"H",""))&amp;IF(Species!$I66=11,"S","")</f>
        <v/>
      </c>
      <c r="N66" s="153" t="str">
        <f aca="false">IF(Species!$G66&lt;=Species!$H66,IF(AND(12&gt;=Species!$G66,12&lt;=Species!$H66),"H",""),IF(OR(12&gt;=Species!$G66,12&lt;=Species!$H66),"H",""))&amp;IF(Species!$I66=12,"S","")</f>
        <v/>
      </c>
    </row>
    <row r="67" customFormat="false" ht="15" hidden="false" customHeight="false" outlineLevel="0" collapsed="false">
      <c r="A67" s="6" t="str">
        <f aca="false">Species!B67</f>
        <v>Blue Cohosh</v>
      </c>
      <c r="B67" s="6" t="str">
        <f aca="false">Species!F67</f>
        <v>Root</v>
      </c>
      <c r="C67" s="153" t="str">
        <f aca="false">IF(Species!$G67&lt;=Species!$H67,IF(AND(1&gt;=Species!$G67,1&lt;=Species!$H67),"H",""),IF(OR(1&gt;=Species!$G67,1&lt;=Species!$H67),"H",""))&amp;IF(Species!$I67=1,"S","")</f>
        <v/>
      </c>
      <c r="D67" s="153" t="str">
        <f aca="false">IF(Species!$G67&lt;=Species!$H67,IF(AND(2&gt;=Species!$G67,2&lt;=Species!$H67),"H",""),IF(OR(2&gt;=Species!$G67,2&lt;=Species!$H67),"H",""))&amp;IF(Species!$I67=2,"S","")</f>
        <v/>
      </c>
      <c r="E67" s="153" t="str">
        <f aca="false">IF(Species!$G67&lt;=Species!$H67,IF(AND(3&gt;=Species!$G67,3&lt;=Species!$H67),"H",""),IF(OR(3&gt;=Species!$G67,3&lt;=Species!$H67),"H",""))&amp;IF(Species!$I67=3,"S","")</f>
        <v/>
      </c>
      <c r="F67" s="153" t="str">
        <f aca="false">IF(Species!$G67&lt;=Species!$H67,IF(AND(4&gt;=Species!$G67,4&lt;=Species!$H67),"H",""),IF(OR(4&gt;=Species!$G67,4&lt;=Species!$H67),"H",""))&amp;IF(Species!$I67=4,"S","")</f>
        <v/>
      </c>
      <c r="G67" s="153" t="str">
        <f aca="false">IF(Species!$G67&lt;=Species!$H67,IF(AND(5&gt;=Species!$G67,5&lt;=Species!$H67),"H",""),IF(OR(5&gt;=Species!$G67,5&lt;=Species!$H67),"H",""))&amp;IF(Species!$I67=5,"S","")</f>
        <v/>
      </c>
      <c r="H67" s="153" t="str">
        <f aca="false">IF(Species!$G67&lt;=Species!$H67,IF(AND(6&gt;=Species!$G67,6&lt;=Species!$H67),"H",""),IF(OR(6&gt;=Species!$G67,6&lt;=Species!$H67),"H",""))&amp;IF(Species!$I67=6,"S","")</f>
        <v/>
      </c>
      <c r="I67" s="153" t="str">
        <f aca="false">IF(Species!$G67&lt;=Species!$H67,IF(AND(7&gt;=Species!$G67,7&lt;=Species!$H67),"H",""),IF(OR(7&gt;=Species!$G67,7&lt;=Species!$H67),"H",""))&amp;IF(Species!$I67=7,"S","")</f>
        <v/>
      </c>
      <c r="J67" s="153" t="str">
        <f aca="false">IF(Species!$G67&lt;=Species!$H67,IF(AND(8&gt;=Species!$G67,8&lt;=Species!$H67),"H",""),IF(OR(8&gt;=Species!$G67,8&lt;=Species!$H67),"H",""))&amp;IF(Species!$I67=8,"S","")</f>
        <v>S</v>
      </c>
      <c r="K67" s="153" t="str">
        <f aca="false">IF(Species!$G67&lt;=Species!$H67,IF(AND(9&gt;=Species!$G67,9&lt;=Species!$H67),"H",""),IF(OR(9&gt;=Species!$G67,9&lt;=Species!$H67),"H",""))&amp;IF(Species!$I67=9,"S","")</f>
        <v>H</v>
      </c>
      <c r="L67" s="153" t="str">
        <f aca="false">IF(Species!$G67&lt;=Species!$H67,IF(AND(10&gt;=Species!$G67,10&lt;=Species!$H67),"H",""),IF(OR(10&gt;=Species!$G67,10&lt;=Species!$H67),"H",""))&amp;IF(Species!$I67=10,"S","")</f>
        <v>H</v>
      </c>
      <c r="M67" s="153" t="str">
        <f aca="false">IF(Species!$G67&lt;=Species!$H67,IF(AND(11&gt;=Species!$G67,11&lt;=Species!$H67),"H",""),IF(OR(11&gt;=Species!$G67,11&lt;=Species!$H67),"H",""))&amp;IF(Species!$I67=11,"S","")</f>
        <v/>
      </c>
      <c r="N67" s="153" t="str">
        <f aca="false">IF(Species!$G67&lt;=Species!$H67,IF(AND(12&gt;=Species!$G67,12&lt;=Species!$H67),"H",""),IF(OR(12&gt;=Species!$G67,12&lt;=Species!$H67),"H",""))&amp;IF(Species!$I67=12,"S","")</f>
        <v/>
      </c>
    </row>
    <row r="68" customFormat="false" ht="15" hidden="false" customHeight="false" outlineLevel="0" collapsed="false">
      <c r="A68" s="6" t="str">
        <f aca="false">Species!B68</f>
        <v>Solomon's Seal</v>
      </c>
      <c r="B68" s="6" t="str">
        <f aca="false">Species!F68</f>
        <v>Rhizome</v>
      </c>
      <c r="C68" s="153" t="str">
        <f aca="false">IF(Species!$G68&lt;=Species!$H68,IF(AND(1&gt;=Species!$G68,1&lt;=Species!$H68),"H",""),IF(OR(1&gt;=Species!$G68,1&lt;=Species!$H68),"H",""))&amp;IF(Species!$I68=1,"S","")</f>
        <v/>
      </c>
      <c r="D68" s="153" t="str">
        <f aca="false">IF(Species!$G68&lt;=Species!$H68,IF(AND(2&gt;=Species!$G68,2&lt;=Species!$H68),"H",""),IF(OR(2&gt;=Species!$G68,2&lt;=Species!$H68),"H",""))&amp;IF(Species!$I68=2,"S","")</f>
        <v/>
      </c>
      <c r="E68" s="153" t="str">
        <f aca="false">IF(Species!$G68&lt;=Species!$H68,IF(AND(3&gt;=Species!$G68,3&lt;=Species!$H68),"H",""),IF(OR(3&gt;=Species!$G68,3&lt;=Species!$H68),"H",""))&amp;IF(Species!$I68=3,"S","")</f>
        <v/>
      </c>
      <c r="F68" s="153" t="str">
        <f aca="false">IF(Species!$G68&lt;=Species!$H68,IF(AND(4&gt;=Species!$G68,4&lt;=Species!$H68),"H",""),IF(OR(4&gt;=Species!$G68,4&lt;=Species!$H68),"H",""))&amp;IF(Species!$I68=4,"S","")</f>
        <v/>
      </c>
      <c r="G68" s="153" t="str">
        <f aca="false">IF(Species!$G68&lt;=Species!$H68,IF(AND(5&gt;=Species!$G68,5&lt;=Species!$H68),"H",""),IF(OR(5&gt;=Species!$G68,5&lt;=Species!$H68),"H",""))&amp;IF(Species!$I68=5,"S","")</f>
        <v/>
      </c>
      <c r="H68" s="153" t="str">
        <f aca="false">IF(Species!$G68&lt;=Species!$H68,IF(AND(6&gt;=Species!$G68,6&lt;=Species!$H68),"H",""),IF(OR(6&gt;=Species!$G68,6&lt;=Species!$H68),"H",""))&amp;IF(Species!$I68=6,"S","")</f>
        <v/>
      </c>
      <c r="I68" s="153" t="str">
        <f aca="false">IF(Species!$G68&lt;=Species!$H68,IF(AND(7&gt;=Species!$G68,7&lt;=Species!$H68),"H",""),IF(OR(7&gt;=Species!$G68,7&lt;=Species!$H68),"H",""))&amp;IF(Species!$I68=7,"S","")</f>
        <v/>
      </c>
      <c r="J68" s="153" t="str">
        <f aca="false">IF(Species!$G68&lt;=Species!$H68,IF(AND(8&gt;=Species!$G68,8&lt;=Species!$H68),"H",""),IF(OR(8&gt;=Species!$G68,8&lt;=Species!$H68),"H",""))&amp;IF(Species!$I68=8,"S","")</f>
        <v/>
      </c>
      <c r="K68" s="153" t="str">
        <f aca="false">IF(Species!$G68&lt;=Species!$H68,IF(AND(9&gt;=Species!$G68,9&lt;=Species!$H68),"H",""),IF(OR(9&gt;=Species!$G68,9&lt;=Species!$H68),"H",""))&amp;IF(Species!$I68=9,"S","")</f>
        <v>HS</v>
      </c>
      <c r="L68" s="153" t="str">
        <f aca="false">IF(Species!$G68&lt;=Species!$H68,IF(AND(10&gt;=Species!$G68,10&lt;=Species!$H68),"H",""),IF(OR(10&gt;=Species!$G68,10&lt;=Species!$H68),"H",""))&amp;IF(Species!$I68=10,"S","")</f>
        <v>H</v>
      </c>
      <c r="M68" s="153" t="str">
        <f aca="false">IF(Species!$G68&lt;=Species!$H68,IF(AND(11&gt;=Species!$G68,11&lt;=Species!$H68),"H",""),IF(OR(11&gt;=Species!$G68,11&lt;=Species!$H68),"H",""))&amp;IF(Species!$I68=11,"S","")</f>
        <v/>
      </c>
      <c r="N68" s="153" t="str">
        <f aca="false">IF(Species!$G68&lt;=Species!$H68,IF(AND(12&gt;=Species!$G68,12&lt;=Species!$H68),"H",""),IF(OR(12&gt;=Species!$G68,12&lt;=Species!$H68),"H",""))&amp;IF(Species!$I68=12,"S","")</f>
        <v/>
      </c>
    </row>
    <row r="69" customFormat="false" ht="15" hidden="false" customHeight="false" outlineLevel="0" collapsed="false">
      <c r="A69" s="6" t="str">
        <f aca="false">Species!B69</f>
        <v>Prairie Trillium</v>
      </c>
      <c r="B69" s="6" t="str">
        <f aca="false">Species!F69</f>
        <v>Rhizome</v>
      </c>
      <c r="C69" s="153" t="str">
        <f aca="false">IF(Species!$G69&lt;=Species!$H69,IF(AND(1&gt;=Species!$G69,1&lt;=Species!$H69),"H",""),IF(OR(1&gt;=Species!$G69,1&lt;=Species!$H69),"H",""))&amp;IF(Species!$I69=1,"S","")</f>
        <v/>
      </c>
      <c r="D69" s="153" t="str">
        <f aca="false">IF(Species!$G69&lt;=Species!$H69,IF(AND(2&gt;=Species!$G69,2&lt;=Species!$H69),"H",""),IF(OR(2&gt;=Species!$G69,2&lt;=Species!$H69),"H",""))&amp;IF(Species!$I69=2,"S","")</f>
        <v/>
      </c>
      <c r="E69" s="153" t="str">
        <f aca="false">IF(Species!$G69&lt;=Species!$H69,IF(AND(3&gt;=Species!$G69,3&lt;=Species!$H69),"H",""),IF(OR(3&gt;=Species!$G69,3&lt;=Species!$H69),"H",""))&amp;IF(Species!$I69=3,"S","")</f>
        <v/>
      </c>
      <c r="F69" s="153" t="str">
        <f aca="false">IF(Species!$G69&lt;=Species!$H69,IF(AND(4&gt;=Species!$G69,4&lt;=Species!$H69),"H",""),IF(OR(4&gt;=Species!$G69,4&lt;=Species!$H69),"H",""))&amp;IF(Species!$I69=4,"S","")</f>
        <v>H</v>
      </c>
      <c r="G69" s="153" t="str">
        <f aca="false">IF(Species!$G69&lt;=Species!$H69,IF(AND(5&gt;=Species!$G69,5&lt;=Species!$H69),"H",""),IF(OR(5&gt;=Species!$G69,5&lt;=Species!$H69),"H",""))&amp;IF(Species!$I69=5,"S","")</f>
        <v>H</v>
      </c>
      <c r="H69" s="153" t="str">
        <f aca="false">IF(Species!$G69&lt;=Species!$H69,IF(AND(6&gt;=Species!$G69,6&lt;=Species!$H69),"H",""),IF(OR(6&gt;=Species!$G69,6&lt;=Species!$H69),"H",""))&amp;IF(Species!$I69=6,"S","")</f>
        <v>S</v>
      </c>
      <c r="I69" s="153" t="str">
        <f aca="false">IF(Species!$G69&lt;=Species!$H69,IF(AND(7&gt;=Species!$G69,7&lt;=Species!$H69),"H",""),IF(OR(7&gt;=Species!$G69,7&lt;=Species!$H69),"H",""))&amp;IF(Species!$I69=7,"S","")</f>
        <v/>
      </c>
      <c r="J69" s="153" t="str">
        <f aca="false">IF(Species!$G69&lt;=Species!$H69,IF(AND(8&gt;=Species!$G69,8&lt;=Species!$H69),"H",""),IF(OR(8&gt;=Species!$G69,8&lt;=Species!$H69),"H",""))&amp;IF(Species!$I69=8,"S","")</f>
        <v/>
      </c>
      <c r="K69" s="153" t="str">
        <f aca="false">IF(Species!$G69&lt;=Species!$H69,IF(AND(9&gt;=Species!$G69,9&lt;=Species!$H69),"H",""),IF(OR(9&gt;=Species!$G69,9&lt;=Species!$H69),"H",""))&amp;IF(Species!$I69=9,"S","")</f>
        <v/>
      </c>
      <c r="L69" s="153" t="str">
        <f aca="false">IF(Species!$G69&lt;=Species!$H69,IF(AND(10&gt;=Species!$G69,10&lt;=Species!$H69),"H",""),IF(OR(10&gt;=Species!$G69,10&lt;=Species!$H69),"H",""))&amp;IF(Species!$I69=10,"S","")</f>
        <v/>
      </c>
      <c r="M69" s="153" t="str">
        <f aca="false">IF(Species!$G69&lt;=Species!$H69,IF(AND(11&gt;=Species!$G69,11&lt;=Species!$H69),"H",""),IF(OR(11&gt;=Species!$G69,11&lt;=Species!$H69),"H",""))&amp;IF(Species!$I69=11,"S","")</f>
        <v/>
      </c>
      <c r="N69" s="153" t="str">
        <f aca="false">IF(Species!$G69&lt;=Species!$H69,IF(AND(12&gt;=Species!$G69,12&lt;=Species!$H69),"H",""),IF(OR(12&gt;=Species!$G69,12&lt;=Species!$H69),"H",""))&amp;IF(Species!$I69=12,"S","")</f>
        <v/>
      </c>
    </row>
    <row r="70" customFormat="false" ht="15" hidden="false" customHeight="false" outlineLevel="0" collapsed="false">
      <c r="A70" s="6" t="str">
        <f aca="false">Species!B70</f>
        <v>Spring Beauty</v>
      </c>
      <c r="B70" s="6" t="str">
        <f aca="false">Species!F70</f>
        <v>Root</v>
      </c>
      <c r="C70" s="153" t="str">
        <f aca="false">IF(Species!$G70&lt;=Species!$H70,IF(AND(1&gt;=Species!$G70,1&lt;=Species!$H70),"H",""),IF(OR(1&gt;=Species!$G70,1&lt;=Species!$H70),"H",""))&amp;IF(Species!$I70=1,"S","")</f>
        <v/>
      </c>
      <c r="D70" s="153" t="str">
        <f aca="false">IF(Species!$G70&lt;=Species!$H70,IF(AND(2&gt;=Species!$G70,2&lt;=Species!$H70),"H",""),IF(OR(2&gt;=Species!$G70,2&lt;=Species!$H70),"H",""))&amp;IF(Species!$I70=2,"S","")</f>
        <v/>
      </c>
      <c r="E70" s="153" t="str">
        <f aca="false">IF(Species!$G70&lt;=Species!$H70,IF(AND(3&gt;=Species!$G70,3&lt;=Species!$H70),"H",""),IF(OR(3&gt;=Species!$G70,3&lt;=Species!$H70),"H",""))&amp;IF(Species!$I70=3,"S","")</f>
        <v>H</v>
      </c>
      <c r="F70" s="153" t="str">
        <f aca="false">IF(Species!$G70&lt;=Species!$H70,IF(AND(4&gt;=Species!$G70,4&lt;=Species!$H70),"H",""),IF(OR(4&gt;=Species!$G70,4&lt;=Species!$H70),"H",""))&amp;IF(Species!$I70=4,"S","")</f>
        <v>H</v>
      </c>
      <c r="G70" s="153" t="str">
        <f aca="false">IF(Species!$G70&lt;=Species!$H70,IF(AND(5&gt;=Species!$G70,5&lt;=Species!$H70),"H",""),IF(OR(5&gt;=Species!$G70,5&lt;=Species!$H70),"H",""))&amp;IF(Species!$I70=5,"S","")</f>
        <v>S</v>
      </c>
      <c r="H70" s="153" t="str">
        <f aca="false">IF(Species!$G70&lt;=Species!$H70,IF(AND(6&gt;=Species!$G70,6&lt;=Species!$H70),"H",""),IF(OR(6&gt;=Species!$G70,6&lt;=Species!$H70),"H",""))&amp;IF(Species!$I70=6,"S","")</f>
        <v/>
      </c>
      <c r="I70" s="153" t="str">
        <f aca="false">IF(Species!$G70&lt;=Species!$H70,IF(AND(7&gt;=Species!$G70,7&lt;=Species!$H70),"H",""),IF(OR(7&gt;=Species!$G70,7&lt;=Species!$H70),"H",""))&amp;IF(Species!$I70=7,"S","")</f>
        <v/>
      </c>
      <c r="J70" s="153" t="str">
        <f aca="false">IF(Species!$G70&lt;=Species!$H70,IF(AND(8&gt;=Species!$G70,8&lt;=Species!$H70),"H",""),IF(OR(8&gt;=Species!$G70,8&lt;=Species!$H70),"H",""))&amp;IF(Species!$I70=8,"S","")</f>
        <v/>
      </c>
      <c r="K70" s="153" t="str">
        <f aca="false">IF(Species!$G70&lt;=Species!$H70,IF(AND(9&gt;=Species!$G70,9&lt;=Species!$H70),"H",""),IF(OR(9&gt;=Species!$G70,9&lt;=Species!$H70),"H",""))&amp;IF(Species!$I70=9,"S","")</f>
        <v/>
      </c>
      <c r="L70" s="153" t="str">
        <f aca="false">IF(Species!$G70&lt;=Species!$H70,IF(AND(10&gt;=Species!$G70,10&lt;=Species!$H70),"H",""),IF(OR(10&gt;=Species!$G70,10&lt;=Species!$H70),"H",""))&amp;IF(Species!$I70=10,"S","")</f>
        <v/>
      </c>
      <c r="M70" s="153" t="str">
        <f aca="false">IF(Species!$G70&lt;=Species!$H70,IF(AND(11&gt;=Species!$G70,11&lt;=Species!$H70),"H",""),IF(OR(11&gt;=Species!$G70,11&lt;=Species!$H70),"H",""))&amp;IF(Species!$I70=11,"S","")</f>
        <v/>
      </c>
      <c r="N70" s="153" t="str">
        <f aca="false">IF(Species!$G70&lt;=Species!$H70,IF(AND(12&gt;=Species!$G70,12&lt;=Species!$H70),"H",""),IF(OR(12&gt;=Species!$G70,12&lt;=Species!$H70),"H",""))&amp;IF(Species!$I70=12,"S","")</f>
        <v/>
      </c>
    </row>
    <row r="71" customFormat="false" ht="15" hidden="false" customHeight="false" outlineLevel="0" collapsed="false">
      <c r="A71" s="6" t="str">
        <f aca="false">Species!B71</f>
        <v>Dutchman's Breeches</v>
      </c>
      <c r="B71" s="6" t="str">
        <f aca="false">Species!F71</f>
        <v>Root</v>
      </c>
      <c r="C71" s="153" t="str">
        <f aca="false">IF(Species!$G71&lt;=Species!$H71,IF(AND(1&gt;=Species!$G71,1&lt;=Species!$H71),"H",""),IF(OR(1&gt;=Species!$G71,1&lt;=Species!$H71),"H",""))&amp;IF(Species!$I71=1,"S","")</f>
        <v/>
      </c>
      <c r="D71" s="153" t="str">
        <f aca="false">IF(Species!$G71&lt;=Species!$H71,IF(AND(2&gt;=Species!$G71,2&lt;=Species!$H71),"H",""),IF(OR(2&gt;=Species!$G71,2&lt;=Species!$H71),"H",""))&amp;IF(Species!$I71=2,"S","")</f>
        <v/>
      </c>
      <c r="E71" s="153" t="str">
        <f aca="false">IF(Species!$G71&lt;=Species!$H71,IF(AND(3&gt;=Species!$G71,3&lt;=Species!$H71),"H",""),IF(OR(3&gt;=Species!$G71,3&lt;=Species!$H71),"H",""))&amp;IF(Species!$I71=3,"S","")</f>
        <v>H</v>
      </c>
      <c r="F71" s="153" t="str">
        <f aca="false">IF(Species!$G71&lt;=Species!$H71,IF(AND(4&gt;=Species!$G71,4&lt;=Species!$H71),"H",""),IF(OR(4&gt;=Species!$G71,4&lt;=Species!$H71),"H",""))&amp;IF(Species!$I71=4,"S","")</f>
        <v>H</v>
      </c>
      <c r="G71" s="153" t="str">
        <f aca="false">IF(Species!$G71&lt;=Species!$H71,IF(AND(5&gt;=Species!$G71,5&lt;=Species!$H71),"H",""),IF(OR(5&gt;=Species!$G71,5&lt;=Species!$H71),"H",""))&amp;IF(Species!$I71=5,"S","")</f>
        <v>S</v>
      </c>
      <c r="H71" s="153" t="str">
        <f aca="false">IF(Species!$G71&lt;=Species!$H71,IF(AND(6&gt;=Species!$G71,6&lt;=Species!$H71),"H",""),IF(OR(6&gt;=Species!$G71,6&lt;=Species!$H71),"H",""))&amp;IF(Species!$I71=6,"S","")</f>
        <v/>
      </c>
      <c r="I71" s="153" t="str">
        <f aca="false">IF(Species!$G71&lt;=Species!$H71,IF(AND(7&gt;=Species!$G71,7&lt;=Species!$H71),"H",""),IF(OR(7&gt;=Species!$G71,7&lt;=Species!$H71),"H",""))&amp;IF(Species!$I71=7,"S","")</f>
        <v/>
      </c>
      <c r="J71" s="153" t="str">
        <f aca="false">IF(Species!$G71&lt;=Species!$H71,IF(AND(8&gt;=Species!$G71,8&lt;=Species!$H71),"H",""),IF(OR(8&gt;=Species!$G71,8&lt;=Species!$H71),"H",""))&amp;IF(Species!$I71=8,"S","")</f>
        <v/>
      </c>
      <c r="K71" s="153" t="str">
        <f aca="false">IF(Species!$G71&lt;=Species!$H71,IF(AND(9&gt;=Species!$G71,9&lt;=Species!$H71),"H",""),IF(OR(9&gt;=Species!$G71,9&lt;=Species!$H71),"H",""))&amp;IF(Species!$I71=9,"S","")</f>
        <v/>
      </c>
      <c r="L71" s="153" t="str">
        <f aca="false">IF(Species!$G71&lt;=Species!$H71,IF(AND(10&gt;=Species!$G71,10&lt;=Species!$H71),"H",""),IF(OR(10&gt;=Species!$G71,10&lt;=Species!$H71),"H",""))&amp;IF(Species!$I71=10,"S","")</f>
        <v/>
      </c>
      <c r="M71" s="153" t="str">
        <f aca="false">IF(Species!$G71&lt;=Species!$H71,IF(AND(11&gt;=Species!$G71,11&lt;=Species!$H71),"H",""),IF(OR(11&gt;=Species!$G71,11&lt;=Species!$H71),"H",""))&amp;IF(Species!$I71=11,"S","")</f>
        <v/>
      </c>
      <c r="N71" s="153" t="str">
        <f aca="false">IF(Species!$G71&lt;=Species!$H71,IF(AND(12&gt;=Species!$G71,12&lt;=Species!$H71),"H",""),IF(OR(12&gt;=Species!$G71,12&lt;=Species!$H71),"H",""))&amp;IF(Species!$I71=12,"S","")</f>
        <v/>
      </c>
    </row>
    <row r="72" customFormat="false" ht="15" hidden="false" customHeight="false" outlineLevel="0" collapsed="false">
      <c r="A72" s="6" t="str">
        <f aca="false">Species!B72</f>
        <v>Cutleaf Toothwort</v>
      </c>
      <c r="B72" s="6" t="str">
        <f aca="false">Species!F72</f>
        <v>Root</v>
      </c>
      <c r="C72" s="153" t="str">
        <f aca="false">IF(Species!$G72&lt;=Species!$H72,IF(AND(1&gt;=Species!$G72,1&lt;=Species!$H72),"H",""),IF(OR(1&gt;=Species!$G72,1&lt;=Species!$H72),"H",""))&amp;IF(Species!$I72=1,"S","")</f>
        <v/>
      </c>
      <c r="D72" s="153" t="str">
        <f aca="false">IF(Species!$G72&lt;=Species!$H72,IF(AND(2&gt;=Species!$G72,2&lt;=Species!$H72),"H",""),IF(OR(2&gt;=Species!$G72,2&lt;=Species!$H72),"H",""))&amp;IF(Species!$I72=2,"S","")</f>
        <v/>
      </c>
      <c r="E72" s="153" t="str">
        <f aca="false">IF(Species!$G72&lt;=Species!$H72,IF(AND(3&gt;=Species!$G72,3&lt;=Species!$H72),"H",""),IF(OR(3&gt;=Species!$G72,3&lt;=Species!$H72),"H",""))&amp;IF(Species!$I72=3,"S","")</f>
        <v>H</v>
      </c>
      <c r="F72" s="153" t="str">
        <f aca="false">IF(Species!$G72&lt;=Species!$H72,IF(AND(4&gt;=Species!$G72,4&lt;=Species!$H72),"H",""),IF(OR(4&gt;=Species!$G72,4&lt;=Species!$H72),"H",""))&amp;IF(Species!$I72=4,"S","")</f>
        <v>H</v>
      </c>
      <c r="G72" s="153" t="str">
        <f aca="false">IF(Species!$G72&lt;=Species!$H72,IF(AND(5&gt;=Species!$G72,5&lt;=Species!$H72),"H",""),IF(OR(5&gt;=Species!$G72,5&lt;=Species!$H72),"H",""))&amp;IF(Species!$I72=5,"S","")</f>
        <v>S</v>
      </c>
      <c r="H72" s="153" t="str">
        <f aca="false">IF(Species!$G72&lt;=Species!$H72,IF(AND(6&gt;=Species!$G72,6&lt;=Species!$H72),"H",""),IF(OR(6&gt;=Species!$G72,6&lt;=Species!$H72),"H",""))&amp;IF(Species!$I72=6,"S","")</f>
        <v/>
      </c>
      <c r="I72" s="153" t="str">
        <f aca="false">IF(Species!$G72&lt;=Species!$H72,IF(AND(7&gt;=Species!$G72,7&lt;=Species!$H72),"H",""),IF(OR(7&gt;=Species!$G72,7&lt;=Species!$H72),"H",""))&amp;IF(Species!$I72=7,"S","")</f>
        <v/>
      </c>
      <c r="J72" s="153" t="str">
        <f aca="false">IF(Species!$G72&lt;=Species!$H72,IF(AND(8&gt;=Species!$G72,8&lt;=Species!$H72),"H",""),IF(OR(8&gt;=Species!$G72,8&lt;=Species!$H72),"H",""))&amp;IF(Species!$I72=8,"S","")</f>
        <v/>
      </c>
      <c r="K72" s="153" t="str">
        <f aca="false">IF(Species!$G72&lt;=Species!$H72,IF(AND(9&gt;=Species!$G72,9&lt;=Species!$H72),"H",""),IF(OR(9&gt;=Species!$G72,9&lt;=Species!$H72),"H",""))&amp;IF(Species!$I72=9,"S","")</f>
        <v/>
      </c>
      <c r="L72" s="153" t="str">
        <f aca="false">IF(Species!$G72&lt;=Species!$H72,IF(AND(10&gt;=Species!$G72,10&lt;=Species!$H72),"H",""),IF(OR(10&gt;=Species!$G72,10&lt;=Species!$H72),"H",""))&amp;IF(Species!$I72=10,"S","")</f>
        <v/>
      </c>
      <c r="M72" s="153" t="str">
        <f aca="false">IF(Species!$G72&lt;=Species!$H72,IF(AND(11&gt;=Species!$G72,11&lt;=Species!$H72),"H",""),IF(OR(11&gt;=Species!$G72,11&lt;=Species!$H72),"H",""))&amp;IF(Species!$I72=11,"S","")</f>
        <v/>
      </c>
      <c r="N72" s="153" t="str">
        <f aca="false">IF(Species!$G72&lt;=Species!$H72,IF(AND(12&gt;=Species!$G72,12&lt;=Species!$H72),"H",""),IF(OR(12&gt;=Species!$G72,12&lt;=Species!$H72),"H",""))&amp;IF(Species!$I72=12,"S","")</f>
        <v/>
      </c>
    </row>
    <row r="73" customFormat="false" ht="15" hidden="false" customHeight="false" outlineLevel="0" collapsed="false">
      <c r="A73" s="6" t="str">
        <f aca="false">Species!B73</f>
        <v>Ramps</v>
      </c>
      <c r="B73" s="6" t="str">
        <f aca="false">Species!F73</f>
        <v>Bulb</v>
      </c>
      <c r="C73" s="153" t="str">
        <f aca="false">IF(Species!$G73&lt;=Species!$H73,IF(AND(1&gt;=Species!$G73,1&lt;=Species!$H73),"H",""),IF(OR(1&gt;=Species!$G73,1&lt;=Species!$H73),"H",""))&amp;IF(Species!$I73=1,"S","")</f>
        <v/>
      </c>
      <c r="D73" s="153" t="str">
        <f aca="false">IF(Species!$G73&lt;=Species!$H73,IF(AND(2&gt;=Species!$G73,2&lt;=Species!$H73),"H",""),IF(OR(2&gt;=Species!$G73,2&lt;=Species!$H73),"H",""))&amp;IF(Species!$I73=2,"S","")</f>
        <v/>
      </c>
      <c r="E73" s="153" t="str">
        <f aca="false">IF(Species!$G73&lt;=Species!$H73,IF(AND(3&gt;=Species!$G73,3&lt;=Species!$H73),"H",""),IF(OR(3&gt;=Species!$G73,3&lt;=Species!$H73),"H",""))&amp;IF(Species!$I73=3,"S","")</f>
        <v/>
      </c>
      <c r="F73" s="153" t="str">
        <f aca="false">IF(Species!$G73&lt;=Species!$H73,IF(AND(4&gt;=Species!$G73,4&lt;=Species!$H73),"H",""),IF(OR(4&gt;=Species!$G73,4&lt;=Species!$H73),"H",""))&amp;IF(Species!$I73=4,"S","")</f>
        <v>H</v>
      </c>
      <c r="G73" s="153" t="str">
        <f aca="false">IF(Species!$G73&lt;=Species!$H73,IF(AND(5&gt;=Species!$G73,5&lt;=Species!$H73),"H",""),IF(OR(5&gt;=Species!$G73,5&lt;=Species!$H73),"H",""))&amp;IF(Species!$I73=5,"S","")</f>
        <v>H</v>
      </c>
      <c r="H73" s="153" t="str">
        <f aca="false">IF(Species!$G73&lt;=Species!$H73,IF(AND(6&gt;=Species!$G73,6&lt;=Species!$H73),"H",""),IF(OR(6&gt;=Species!$G73,6&lt;=Species!$H73),"H",""))&amp;IF(Species!$I73=6,"S","")</f>
        <v/>
      </c>
      <c r="I73" s="153" t="str">
        <f aca="false">IF(Species!$G73&lt;=Species!$H73,IF(AND(7&gt;=Species!$G73,7&lt;=Species!$H73),"H",""),IF(OR(7&gt;=Species!$G73,7&lt;=Species!$H73),"H",""))&amp;IF(Species!$I73=7,"S","")</f>
        <v>S</v>
      </c>
      <c r="J73" s="153" t="str">
        <f aca="false">IF(Species!$G73&lt;=Species!$H73,IF(AND(8&gt;=Species!$G73,8&lt;=Species!$H73),"H",""),IF(OR(8&gt;=Species!$G73,8&lt;=Species!$H73),"H",""))&amp;IF(Species!$I73=8,"S","")</f>
        <v/>
      </c>
      <c r="K73" s="153" t="str">
        <f aca="false">IF(Species!$G73&lt;=Species!$H73,IF(AND(9&gt;=Species!$G73,9&lt;=Species!$H73),"H",""),IF(OR(9&gt;=Species!$G73,9&lt;=Species!$H73),"H",""))&amp;IF(Species!$I73=9,"S","")</f>
        <v/>
      </c>
      <c r="L73" s="153" t="str">
        <f aca="false">IF(Species!$G73&lt;=Species!$H73,IF(AND(10&gt;=Species!$G73,10&lt;=Species!$H73),"H",""),IF(OR(10&gt;=Species!$G73,10&lt;=Species!$H73),"H",""))&amp;IF(Species!$I73=10,"S","")</f>
        <v/>
      </c>
      <c r="M73" s="153" t="str">
        <f aca="false">IF(Species!$G73&lt;=Species!$H73,IF(AND(11&gt;=Species!$G73,11&lt;=Species!$H73),"H",""),IF(OR(11&gt;=Species!$G73,11&lt;=Species!$H73),"H",""))&amp;IF(Species!$I73=11,"S","")</f>
        <v/>
      </c>
      <c r="N73" s="153" t="str">
        <f aca="false">IF(Species!$G73&lt;=Species!$H73,IF(AND(12&gt;=Species!$G73,12&lt;=Species!$H73),"H",""),IF(OR(12&gt;=Species!$G73,12&lt;=Species!$H73),"H",""))&amp;IF(Species!$I73=12,"S","")</f>
        <v/>
      </c>
    </row>
    <row r="74" customFormat="false" ht="15" hidden="false" customHeight="false" outlineLevel="0" collapsed="false">
      <c r="A74" s="6" t="str">
        <f aca="false">Species!B74</f>
        <v>Wild Garlic</v>
      </c>
      <c r="B74" s="6" t="str">
        <f aca="false">Species!F74</f>
        <v>Bulb</v>
      </c>
      <c r="C74" s="153" t="str">
        <f aca="false">IF(Species!$G74&lt;=Species!$H74,IF(AND(1&gt;=Species!$G74,1&lt;=Species!$H74),"H",""),IF(OR(1&gt;=Species!$G74,1&lt;=Species!$H74),"H",""))&amp;IF(Species!$I74=1,"S","")</f>
        <v/>
      </c>
      <c r="D74" s="153" t="str">
        <f aca="false">IF(Species!$G74&lt;=Species!$H74,IF(AND(2&gt;=Species!$G74,2&lt;=Species!$H74),"H",""),IF(OR(2&gt;=Species!$G74,2&lt;=Species!$H74),"H",""))&amp;IF(Species!$I74=2,"S","")</f>
        <v/>
      </c>
      <c r="E74" s="153" t="str">
        <f aca="false">IF(Species!$G74&lt;=Species!$H74,IF(AND(3&gt;=Species!$G74,3&lt;=Species!$H74),"H",""),IF(OR(3&gt;=Species!$G74,3&lt;=Species!$H74),"H",""))&amp;IF(Species!$I74=3,"S","")</f>
        <v/>
      </c>
      <c r="F74" s="153" t="str">
        <f aca="false">IF(Species!$G74&lt;=Species!$H74,IF(AND(4&gt;=Species!$G74,4&lt;=Species!$H74),"H",""),IF(OR(4&gt;=Species!$G74,4&lt;=Species!$H74),"H",""))&amp;IF(Species!$I74=4,"S","")</f>
        <v>H</v>
      </c>
      <c r="G74" s="153" t="str">
        <f aca="false">IF(Species!$G74&lt;=Species!$H74,IF(AND(5&gt;=Species!$G74,5&lt;=Species!$H74),"H",""),IF(OR(5&gt;=Species!$G74,5&lt;=Species!$H74),"H",""))&amp;IF(Species!$I74=5,"S","")</f>
        <v>H</v>
      </c>
      <c r="H74" s="153" t="str">
        <f aca="false">IF(Species!$G74&lt;=Species!$H74,IF(AND(6&gt;=Species!$G74,6&lt;=Species!$H74),"H",""),IF(OR(6&gt;=Species!$G74,6&lt;=Species!$H74),"H",""))&amp;IF(Species!$I74=6,"S","")</f>
        <v>H</v>
      </c>
      <c r="I74" s="153" t="str">
        <f aca="false">IF(Species!$G74&lt;=Species!$H74,IF(AND(7&gt;=Species!$G74,7&lt;=Species!$H74),"H",""),IF(OR(7&gt;=Species!$G74,7&lt;=Species!$H74),"H",""))&amp;IF(Species!$I74=7,"S","")</f>
        <v>S</v>
      </c>
      <c r="J74" s="153" t="str">
        <f aca="false">IF(Species!$G74&lt;=Species!$H74,IF(AND(8&gt;=Species!$G74,8&lt;=Species!$H74),"H",""),IF(OR(8&gt;=Species!$G74,8&lt;=Species!$H74),"H",""))&amp;IF(Species!$I74=8,"S","")</f>
        <v/>
      </c>
      <c r="K74" s="153" t="str">
        <f aca="false">IF(Species!$G74&lt;=Species!$H74,IF(AND(9&gt;=Species!$G74,9&lt;=Species!$H74),"H",""),IF(OR(9&gt;=Species!$G74,9&lt;=Species!$H74),"H",""))&amp;IF(Species!$I74=9,"S","")</f>
        <v/>
      </c>
      <c r="L74" s="153" t="str">
        <f aca="false">IF(Species!$G74&lt;=Species!$H74,IF(AND(10&gt;=Species!$G74,10&lt;=Species!$H74),"H",""),IF(OR(10&gt;=Species!$G74,10&lt;=Species!$H74),"H",""))&amp;IF(Species!$I74=10,"S","")</f>
        <v/>
      </c>
      <c r="M74" s="153" t="str">
        <f aca="false">IF(Species!$G74&lt;=Species!$H74,IF(AND(11&gt;=Species!$G74,11&lt;=Species!$H74),"H",""),IF(OR(11&gt;=Species!$G74,11&lt;=Species!$H74),"H",""))&amp;IF(Species!$I74=11,"S","")</f>
        <v/>
      </c>
      <c r="N74" s="153" t="str">
        <f aca="false">IF(Species!$G74&lt;=Species!$H74,IF(AND(12&gt;=Species!$G74,12&lt;=Species!$H74),"H",""),IF(OR(12&gt;=Species!$G74,12&lt;=Species!$H74),"H",""))&amp;IF(Species!$I74=12,"S","")</f>
        <v/>
      </c>
    </row>
    <row r="75" customFormat="false" ht="15" hidden="false" customHeight="false" outlineLevel="0" collapsed="false">
      <c r="A75" s="6" t="str">
        <f aca="false">Species!B75</f>
        <v>Garlic Mustard</v>
      </c>
      <c r="B75" s="6" t="str">
        <f aca="false">Species!F75</f>
        <v>Leaf</v>
      </c>
      <c r="C75" s="153" t="str">
        <f aca="false">IF(Species!$G75&lt;=Species!$H75,IF(AND(1&gt;=Species!$G75,1&lt;=Species!$H75),"H",""),IF(OR(1&gt;=Species!$G75,1&lt;=Species!$H75),"H",""))&amp;IF(Species!$I75=1,"S","")</f>
        <v/>
      </c>
      <c r="D75" s="153" t="str">
        <f aca="false">IF(Species!$G75&lt;=Species!$H75,IF(AND(2&gt;=Species!$G75,2&lt;=Species!$H75),"H",""),IF(OR(2&gt;=Species!$G75,2&lt;=Species!$H75),"H",""))&amp;IF(Species!$I75=2,"S","")</f>
        <v/>
      </c>
      <c r="E75" s="153" t="str">
        <f aca="false">IF(Species!$G75&lt;=Species!$H75,IF(AND(3&gt;=Species!$G75,3&lt;=Species!$H75),"H",""),IF(OR(3&gt;=Species!$G75,3&lt;=Species!$H75),"H",""))&amp;IF(Species!$I75=3,"S","")</f>
        <v>H</v>
      </c>
      <c r="F75" s="153" t="str">
        <f aca="false">IF(Species!$G75&lt;=Species!$H75,IF(AND(4&gt;=Species!$G75,4&lt;=Species!$H75),"H",""),IF(OR(4&gt;=Species!$G75,4&lt;=Species!$H75),"H",""))&amp;IF(Species!$I75=4,"S","")</f>
        <v>H</v>
      </c>
      <c r="G75" s="153" t="str">
        <f aca="false">IF(Species!$G75&lt;=Species!$H75,IF(AND(5&gt;=Species!$G75,5&lt;=Species!$H75),"H",""),IF(OR(5&gt;=Species!$G75,5&lt;=Species!$H75),"H",""))&amp;IF(Species!$I75=5,"S","")</f>
        <v>H</v>
      </c>
      <c r="H75" s="153" t="str">
        <f aca="false">IF(Species!$G75&lt;=Species!$H75,IF(AND(6&gt;=Species!$G75,6&lt;=Species!$H75),"H",""),IF(OR(6&gt;=Species!$G75,6&lt;=Species!$H75),"H",""))&amp;IF(Species!$I75=6,"S","")</f>
        <v>HS</v>
      </c>
      <c r="I75" s="153" t="str">
        <f aca="false">IF(Species!$G75&lt;=Species!$H75,IF(AND(7&gt;=Species!$G75,7&lt;=Species!$H75),"H",""),IF(OR(7&gt;=Species!$G75,7&lt;=Species!$H75),"H",""))&amp;IF(Species!$I75=7,"S","")</f>
        <v/>
      </c>
      <c r="J75" s="153" t="str">
        <f aca="false">IF(Species!$G75&lt;=Species!$H75,IF(AND(8&gt;=Species!$G75,8&lt;=Species!$H75),"H",""),IF(OR(8&gt;=Species!$G75,8&lt;=Species!$H75),"H",""))&amp;IF(Species!$I75=8,"S","")</f>
        <v/>
      </c>
      <c r="K75" s="153" t="str">
        <f aca="false">IF(Species!$G75&lt;=Species!$H75,IF(AND(9&gt;=Species!$G75,9&lt;=Species!$H75),"H",""),IF(OR(9&gt;=Species!$G75,9&lt;=Species!$H75),"H",""))&amp;IF(Species!$I75=9,"S","")</f>
        <v/>
      </c>
      <c r="L75" s="153" t="str">
        <f aca="false">IF(Species!$G75&lt;=Species!$H75,IF(AND(10&gt;=Species!$G75,10&lt;=Species!$H75),"H",""),IF(OR(10&gt;=Species!$G75,10&lt;=Species!$H75),"H",""))&amp;IF(Species!$I75=10,"S","")</f>
        <v/>
      </c>
      <c r="M75" s="153" t="str">
        <f aca="false">IF(Species!$G75&lt;=Species!$H75,IF(AND(11&gt;=Species!$G75,11&lt;=Species!$H75),"H",""),IF(OR(11&gt;=Species!$G75,11&lt;=Species!$H75),"H",""))&amp;IF(Species!$I75=11,"S","")</f>
        <v/>
      </c>
      <c r="N75" s="153" t="str">
        <f aca="false">IF(Species!$G75&lt;=Species!$H75,IF(AND(12&gt;=Species!$G75,12&lt;=Species!$H75),"H",""),IF(OR(12&gt;=Species!$G75,12&lt;=Species!$H75),"H",""))&amp;IF(Species!$I75=12,"S","")</f>
        <v/>
      </c>
    </row>
    <row r="76" customFormat="false" ht="15" hidden="false" customHeight="false" outlineLevel="0" collapsed="false">
      <c r="A76" s="6" t="str">
        <f aca="false">Species!B76</f>
        <v>Sassafras Root Bark</v>
      </c>
      <c r="B76" s="6" t="str">
        <f aca="false">Species!F76</f>
        <v>Bark</v>
      </c>
      <c r="C76" s="153" t="str">
        <f aca="false">IF(Species!$G76&lt;=Species!$H76,IF(AND(1&gt;=Species!$G76,1&lt;=Species!$H76),"H",""),IF(OR(1&gt;=Species!$G76,1&lt;=Species!$H76),"H",""))&amp;IF(Species!$I76=1,"S","")</f>
        <v>H</v>
      </c>
      <c r="D76" s="153" t="str">
        <f aca="false">IF(Species!$G76&lt;=Species!$H76,IF(AND(2&gt;=Species!$G76,2&lt;=Species!$H76),"H",""),IF(OR(2&gt;=Species!$G76,2&lt;=Species!$H76),"H",""))&amp;IF(Species!$I76=2,"S","")</f>
        <v>H</v>
      </c>
      <c r="E76" s="153" t="str">
        <f aca="false">IF(Species!$G76&lt;=Species!$H76,IF(AND(3&gt;=Species!$G76,3&lt;=Species!$H76),"H",""),IF(OR(3&gt;=Species!$G76,3&lt;=Species!$H76),"H",""))&amp;IF(Species!$I76=3,"S","")</f>
        <v>H</v>
      </c>
      <c r="F76" s="153" t="str">
        <f aca="false">IF(Species!$G76&lt;=Species!$H76,IF(AND(4&gt;=Species!$G76,4&lt;=Species!$H76),"H",""),IF(OR(4&gt;=Species!$G76,4&lt;=Species!$H76),"H",""))&amp;IF(Species!$I76=4,"S","")</f>
        <v/>
      </c>
      <c r="G76" s="153" t="str">
        <f aca="false">IF(Species!$G76&lt;=Species!$H76,IF(AND(5&gt;=Species!$G76,5&lt;=Species!$H76),"H",""),IF(OR(5&gt;=Species!$G76,5&lt;=Species!$H76),"H",""))&amp;IF(Species!$I76=5,"S","")</f>
        <v/>
      </c>
      <c r="H76" s="153" t="str">
        <f aca="false">IF(Species!$G76&lt;=Species!$H76,IF(AND(6&gt;=Species!$G76,6&lt;=Species!$H76),"H",""),IF(OR(6&gt;=Species!$G76,6&lt;=Species!$H76),"H",""))&amp;IF(Species!$I76=6,"S","")</f>
        <v/>
      </c>
      <c r="I76" s="153" t="str">
        <f aca="false">IF(Species!$G76&lt;=Species!$H76,IF(AND(7&gt;=Species!$G76,7&lt;=Species!$H76),"H",""),IF(OR(7&gt;=Species!$G76,7&lt;=Species!$H76),"H",""))&amp;IF(Species!$I76=7,"S","")</f>
        <v/>
      </c>
      <c r="J76" s="153" t="str">
        <f aca="false">IF(Species!$G76&lt;=Species!$H76,IF(AND(8&gt;=Species!$G76,8&lt;=Species!$H76),"H",""),IF(OR(8&gt;=Species!$G76,8&lt;=Species!$H76),"H",""))&amp;IF(Species!$I76=8,"S","")</f>
        <v/>
      </c>
      <c r="K76" s="153" t="str">
        <f aca="false">IF(Species!$G76&lt;=Species!$H76,IF(AND(9&gt;=Species!$G76,9&lt;=Species!$H76),"H",""),IF(OR(9&gt;=Species!$G76,9&lt;=Species!$H76),"H",""))&amp;IF(Species!$I76=9,"S","")</f>
        <v>S</v>
      </c>
      <c r="L76" s="153" t="str">
        <f aca="false">IF(Species!$G76&lt;=Species!$H76,IF(AND(10&gt;=Species!$G76,10&lt;=Species!$H76),"H",""),IF(OR(10&gt;=Species!$G76,10&lt;=Species!$H76),"H",""))&amp;IF(Species!$I76=10,"S","")</f>
        <v>H</v>
      </c>
      <c r="M76" s="153" t="str">
        <f aca="false">IF(Species!$G76&lt;=Species!$H76,IF(AND(11&gt;=Species!$G76,11&lt;=Species!$H76),"H",""),IF(OR(11&gt;=Species!$G76,11&lt;=Species!$H76),"H",""))&amp;IF(Species!$I76=11,"S","")</f>
        <v>H</v>
      </c>
      <c r="N76" s="153" t="str">
        <f aca="false">IF(Species!$G76&lt;=Species!$H76,IF(AND(12&gt;=Species!$G76,12&lt;=Species!$H76),"H",""),IF(OR(12&gt;=Species!$G76,12&lt;=Species!$H76),"H",""))&amp;IF(Species!$I76=12,"S","")</f>
        <v>H</v>
      </c>
    </row>
    <row r="77" customFormat="false" ht="15" hidden="false" customHeight="false" outlineLevel="0" collapsed="false">
      <c r="A77" s="6" t="str">
        <f aca="false">Species!B77</f>
        <v>Spicebush Twig</v>
      </c>
      <c r="B77" s="6" t="str">
        <f aca="false">Species!F77</f>
        <v>Twig</v>
      </c>
      <c r="C77" s="153" t="str">
        <f aca="false">IF(Species!$G77&lt;=Species!$H77,IF(AND(1&gt;=Species!$G77,1&lt;=Species!$H77),"H",""),IF(OR(1&gt;=Species!$G77,1&lt;=Species!$H77),"H",""))&amp;IF(Species!$I77=1,"S","")</f>
        <v>H</v>
      </c>
      <c r="D77" s="153" t="str">
        <f aca="false">IF(Species!$G77&lt;=Species!$H77,IF(AND(2&gt;=Species!$G77,2&lt;=Species!$H77),"H",""),IF(OR(2&gt;=Species!$G77,2&lt;=Species!$H77),"H",""))&amp;IF(Species!$I77=2,"S","")</f>
        <v>H</v>
      </c>
      <c r="E77" s="153" t="str">
        <f aca="false">IF(Species!$G77&lt;=Species!$H77,IF(AND(3&gt;=Species!$G77,3&lt;=Species!$H77),"H",""),IF(OR(3&gt;=Species!$G77,3&lt;=Species!$H77),"H",""))&amp;IF(Species!$I77=3,"S","")</f>
        <v>H</v>
      </c>
      <c r="F77" s="153" t="str">
        <f aca="false">IF(Species!$G77&lt;=Species!$H77,IF(AND(4&gt;=Species!$G77,4&lt;=Species!$H77),"H",""),IF(OR(4&gt;=Species!$G77,4&lt;=Species!$H77),"H",""))&amp;IF(Species!$I77=4,"S","")</f>
        <v>H</v>
      </c>
      <c r="G77" s="153" t="str">
        <f aca="false">IF(Species!$G77&lt;=Species!$H77,IF(AND(5&gt;=Species!$G77,5&lt;=Species!$H77),"H",""),IF(OR(5&gt;=Species!$G77,5&lt;=Species!$H77),"H",""))&amp;IF(Species!$I77=5,"S","")</f>
        <v>H</v>
      </c>
      <c r="H77" s="153" t="str">
        <f aca="false">IF(Species!$G77&lt;=Species!$H77,IF(AND(6&gt;=Species!$G77,6&lt;=Species!$H77),"H",""),IF(OR(6&gt;=Species!$G77,6&lt;=Species!$H77),"H",""))&amp;IF(Species!$I77=6,"S","")</f>
        <v>H</v>
      </c>
      <c r="I77" s="153" t="str">
        <f aca="false">IF(Species!$G77&lt;=Species!$H77,IF(AND(7&gt;=Species!$G77,7&lt;=Species!$H77),"H",""),IF(OR(7&gt;=Species!$G77,7&lt;=Species!$H77),"H",""))&amp;IF(Species!$I77=7,"S","")</f>
        <v>H</v>
      </c>
      <c r="J77" s="153" t="str">
        <f aca="false">IF(Species!$G77&lt;=Species!$H77,IF(AND(8&gt;=Species!$G77,8&lt;=Species!$H77),"H",""),IF(OR(8&gt;=Species!$G77,8&lt;=Species!$H77),"H",""))&amp;IF(Species!$I77=8,"S","")</f>
        <v>H</v>
      </c>
      <c r="K77" s="153" t="str">
        <f aca="false">IF(Species!$G77&lt;=Species!$H77,IF(AND(9&gt;=Species!$G77,9&lt;=Species!$H77),"H",""),IF(OR(9&gt;=Species!$G77,9&lt;=Species!$H77),"H",""))&amp;IF(Species!$I77=9,"S","")</f>
        <v>HS</v>
      </c>
      <c r="L77" s="153" t="str">
        <f aca="false">IF(Species!$G77&lt;=Species!$H77,IF(AND(10&gt;=Species!$G77,10&lt;=Species!$H77),"H",""),IF(OR(10&gt;=Species!$G77,10&lt;=Species!$H77),"H",""))&amp;IF(Species!$I77=10,"S","")</f>
        <v>H</v>
      </c>
      <c r="M77" s="153" t="str">
        <f aca="false">IF(Species!$G77&lt;=Species!$H77,IF(AND(11&gt;=Species!$G77,11&lt;=Species!$H77),"H",""),IF(OR(11&gt;=Species!$G77,11&lt;=Species!$H77),"H",""))&amp;IF(Species!$I77=11,"S","")</f>
        <v>H</v>
      </c>
      <c r="N77" s="153" t="str">
        <f aca="false">IF(Species!$G77&lt;=Species!$H77,IF(AND(12&gt;=Species!$G77,12&lt;=Species!$H77),"H",""),IF(OR(12&gt;=Species!$G77,12&lt;=Species!$H77),"H",""))&amp;IF(Species!$I77=12,"S","")</f>
        <v>H</v>
      </c>
    </row>
    <row r="78" customFormat="false" ht="15" hidden="false" customHeight="false" outlineLevel="0" collapsed="false">
      <c r="A78" s="6" t="str">
        <f aca="false">Species!B78</f>
        <v>Spicebush Berry</v>
      </c>
      <c r="B78" s="6" t="str">
        <f aca="false">Species!F78</f>
        <v>Fruit</v>
      </c>
      <c r="C78" s="153" t="str">
        <f aca="false">IF(Species!$G78&lt;=Species!$H78,IF(AND(1&gt;=Species!$G78,1&lt;=Species!$H78),"H",""),IF(OR(1&gt;=Species!$G78,1&lt;=Species!$H78),"H",""))&amp;IF(Species!$I78=1,"S","")</f>
        <v/>
      </c>
      <c r="D78" s="153" t="str">
        <f aca="false">IF(Species!$G78&lt;=Species!$H78,IF(AND(2&gt;=Species!$G78,2&lt;=Species!$H78),"H",""),IF(OR(2&gt;=Species!$G78,2&lt;=Species!$H78),"H",""))&amp;IF(Species!$I78=2,"S","")</f>
        <v/>
      </c>
      <c r="E78" s="153" t="str">
        <f aca="false">IF(Species!$G78&lt;=Species!$H78,IF(AND(3&gt;=Species!$G78,3&lt;=Species!$H78),"H",""),IF(OR(3&gt;=Species!$G78,3&lt;=Species!$H78),"H",""))&amp;IF(Species!$I78=3,"S","")</f>
        <v/>
      </c>
      <c r="F78" s="153" t="str">
        <f aca="false">IF(Species!$G78&lt;=Species!$H78,IF(AND(4&gt;=Species!$G78,4&lt;=Species!$H78),"H",""),IF(OR(4&gt;=Species!$G78,4&lt;=Species!$H78),"H",""))&amp;IF(Species!$I78=4,"S","")</f>
        <v/>
      </c>
      <c r="G78" s="153" t="str">
        <f aca="false">IF(Species!$G78&lt;=Species!$H78,IF(AND(5&gt;=Species!$G78,5&lt;=Species!$H78),"H",""),IF(OR(5&gt;=Species!$G78,5&lt;=Species!$H78),"H",""))&amp;IF(Species!$I78=5,"S","")</f>
        <v/>
      </c>
      <c r="H78" s="153" t="str">
        <f aca="false">IF(Species!$G78&lt;=Species!$H78,IF(AND(6&gt;=Species!$G78,6&lt;=Species!$H78),"H",""),IF(OR(6&gt;=Species!$G78,6&lt;=Species!$H78),"H",""))&amp;IF(Species!$I78=6,"S","")</f>
        <v/>
      </c>
      <c r="I78" s="153" t="str">
        <f aca="false">IF(Species!$G78&lt;=Species!$H78,IF(AND(7&gt;=Species!$G78,7&lt;=Species!$H78),"H",""),IF(OR(7&gt;=Species!$G78,7&lt;=Species!$H78),"H",""))&amp;IF(Species!$I78=7,"S","")</f>
        <v/>
      </c>
      <c r="J78" s="153" t="str">
        <f aca="false">IF(Species!$G78&lt;=Species!$H78,IF(AND(8&gt;=Species!$G78,8&lt;=Species!$H78),"H",""),IF(OR(8&gt;=Species!$G78,8&lt;=Species!$H78),"H",""))&amp;IF(Species!$I78=8,"S","")</f>
        <v/>
      </c>
      <c r="K78" s="153" t="str">
        <f aca="false">IF(Species!$G78&lt;=Species!$H78,IF(AND(9&gt;=Species!$G78,9&lt;=Species!$H78),"H",""),IF(OR(9&gt;=Species!$G78,9&lt;=Species!$H78),"H",""))&amp;IF(Species!$I78=9,"S","")</f>
        <v>H</v>
      </c>
      <c r="L78" s="153" t="str">
        <f aca="false">IF(Species!$G78&lt;=Species!$H78,IF(AND(10&gt;=Species!$G78,10&lt;=Species!$H78),"H",""),IF(OR(10&gt;=Species!$G78,10&lt;=Species!$H78),"H",""))&amp;IF(Species!$I78=10,"S","")</f>
        <v>H</v>
      </c>
      <c r="M78" s="153" t="str">
        <f aca="false">IF(Species!$G78&lt;=Species!$H78,IF(AND(11&gt;=Species!$G78,11&lt;=Species!$H78),"H",""),IF(OR(11&gt;=Species!$G78,11&lt;=Species!$H78),"H",""))&amp;IF(Species!$I78=11,"S","")</f>
        <v/>
      </c>
      <c r="N78" s="153" t="str">
        <f aca="false">IF(Species!$G78&lt;=Species!$H78,IF(AND(12&gt;=Species!$G78,12&lt;=Species!$H78),"H",""),IF(OR(12&gt;=Species!$G78,12&lt;=Species!$H78),"H",""))&amp;IF(Species!$I78=12,"S","")</f>
        <v/>
      </c>
    </row>
    <row r="79" customFormat="false" ht="15" hidden="false" customHeight="false" outlineLevel="0" collapsed="false">
      <c r="A79" s="6" t="str">
        <f aca="false">Species!B79</f>
        <v>Slippery Elm</v>
      </c>
      <c r="B79" s="6" t="str">
        <f aca="false">Species!F79</f>
        <v>Bark</v>
      </c>
      <c r="C79" s="153" t="str">
        <f aca="false">IF(Species!$G79&lt;=Species!$H79,IF(AND(1&gt;=Species!$G79,1&lt;=Species!$H79),"H",""),IF(OR(1&gt;=Species!$G79,1&lt;=Species!$H79),"H",""))&amp;IF(Species!$I79=1,"S","")</f>
        <v/>
      </c>
      <c r="D79" s="153" t="str">
        <f aca="false">IF(Species!$G79&lt;=Species!$H79,IF(AND(2&gt;=Species!$G79,2&lt;=Species!$H79),"H",""),IF(OR(2&gt;=Species!$G79,2&lt;=Species!$H79),"H",""))&amp;IF(Species!$I79=2,"S","")</f>
        <v/>
      </c>
      <c r="E79" s="153" t="str">
        <f aca="false">IF(Species!$G79&lt;=Species!$H79,IF(AND(3&gt;=Species!$G79,3&lt;=Species!$H79),"H",""),IF(OR(3&gt;=Species!$G79,3&lt;=Species!$H79),"H",""))&amp;IF(Species!$I79=3,"S","")</f>
        <v>H</v>
      </c>
      <c r="F79" s="153" t="str">
        <f aca="false">IF(Species!$G79&lt;=Species!$H79,IF(AND(4&gt;=Species!$G79,4&lt;=Species!$H79),"H",""),IF(OR(4&gt;=Species!$G79,4&lt;=Species!$H79),"H",""))&amp;IF(Species!$I79=4,"S","")</f>
        <v>H</v>
      </c>
      <c r="G79" s="153" t="str">
        <f aca="false">IF(Species!$G79&lt;=Species!$H79,IF(AND(5&gt;=Species!$G79,5&lt;=Species!$H79),"H",""),IF(OR(5&gt;=Species!$G79,5&lt;=Species!$H79),"H",""))&amp;IF(Species!$I79=5,"S","")</f>
        <v>H</v>
      </c>
      <c r="H79" s="153" t="str">
        <f aca="false">IF(Species!$G79&lt;=Species!$H79,IF(AND(6&gt;=Species!$G79,6&lt;=Species!$H79),"H",""),IF(OR(6&gt;=Species!$G79,6&lt;=Species!$H79),"H",""))&amp;IF(Species!$I79=6,"S","")</f>
        <v/>
      </c>
      <c r="I79" s="153" t="str">
        <f aca="false">IF(Species!$G79&lt;=Species!$H79,IF(AND(7&gt;=Species!$G79,7&lt;=Species!$H79),"H",""),IF(OR(7&gt;=Species!$G79,7&lt;=Species!$H79),"H",""))&amp;IF(Species!$I79=7,"S","")</f>
        <v/>
      </c>
      <c r="J79" s="153" t="str">
        <f aca="false">IF(Species!$G79&lt;=Species!$H79,IF(AND(8&gt;=Species!$G79,8&lt;=Species!$H79),"H",""),IF(OR(8&gt;=Species!$G79,8&lt;=Species!$H79),"H",""))&amp;IF(Species!$I79=8,"S","")</f>
        <v/>
      </c>
      <c r="K79" s="153" t="str">
        <f aca="false">IF(Species!$G79&lt;=Species!$H79,IF(AND(9&gt;=Species!$G79,9&lt;=Species!$H79),"H",""),IF(OR(9&gt;=Species!$G79,9&lt;=Species!$H79),"H",""))&amp;IF(Species!$I79=9,"S","")</f>
        <v/>
      </c>
      <c r="L79" s="153" t="str">
        <f aca="false">IF(Species!$G79&lt;=Species!$H79,IF(AND(10&gt;=Species!$G79,10&lt;=Species!$H79),"H",""),IF(OR(10&gt;=Species!$G79,10&lt;=Species!$H79),"H",""))&amp;IF(Species!$I79=10,"S","")</f>
        <v/>
      </c>
      <c r="M79" s="153" t="str">
        <f aca="false">IF(Species!$G79&lt;=Species!$H79,IF(AND(11&gt;=Species!$G79,11&lt;=Species!$H79),"H",""),IF(OR(11&gt;=Species!$G79,11&lt;=Species!$H79),"H",""))&amp;IF(Species!$I79=11,"S","")</f>
        <v/>
      </c>
      <c r="N79" s="153" t="str">
        <f aca="false">IF(Species!$G79&lt;=Species!$H79,IF(AND(12&gt;=Species!$G79,12&lt;=Species!$H79),"H",""),IF(OR(12&gt;=Species!$G79,12&lt;=Species!$H79),"H",""))&amp;IF(Species!$I79=12,"S","")</f>
        <v/>
      </c>
    </row>
    <row r="80" customFormat="false" ht="15" hidden="false" customHeight="false" outlineLevel="0" collapsed="false">
      <c r="A80" s="6" t="str">
        <f aca="false">Species!B80</f>
        <v>Black Willow Bark</v>
      </c>
      <c r="B80" s="6" t="str">
        <f aca="false">Species!F80</f>
        <v>Bark</v>
      </c>
      <c r="C80" s="153" t="str">
        <f aca="false">IF(Species!$G80&lt;=Species!$H80,IF(AND(1&gt;=Species!$G80,1&lt;=Species!$H80),"H",""),IF(OR(1&gt;=Species!$G80,1&lt;=Species!$H80),"H",""))&amp;IF(Species!$I80=1,"S","")</f>
        <v/>
      </c>
      <c r="D80" s="153" t="str">
        <f aca="false">IF(Species!$G80&lt;=Species!$H80,IF(AND(2&gt;=Species!$G80,2&lt;=Species!$H80),"H",""),IF(OR(2&gt;=Species!$G80,2&lt;=Species!$H80),"H",""))&amp;IF(Species!$I80=2,"S","")</f>
        <v/>
      </c>
      <c r="E80" s="153" t="str">
        <f aca="false">IF(Species!$G80&lt;=Species!$H80,IF(AND(3&gt;=Species!$G80,3&lt;=Species!$H80),"H",""),IF(OR(3&gt;=Species!$G80,3&lt;=Species!$H80),"H",""))&amp;IF(Species!$I80=3,"S","")</f>
        <v>H</v>
      </c>
      <c r="F80" s="153" t="str">
        <f aca="false">IF(Species!$G80&lt;=Species!$H80,IF(AND(4&gt;=Species!$G80,4&lt;=Species!$H80),"H",""),IF(OR(4&gt;=Species!$G80,4&lt;=Species!$H80),"H",""))&amp;IF(Species!$I80=4,"S","")</f>
        <v>H</v>
      </c>
      <c r="G80" s="153" t="str">
        <f aca="false">IF(Species!$G80&lt;=Species!$H80,IF(AND(5&gt;=Species!$G80,5&lt;=Species!$H80),"H",""),IF(OR(5&gt;=Species!$G80,5&lt;=Species!$H80),"H",""))&amp;IF(Species!$I80=5,"S","")</f>
        <v>H</v>
      </c>
      <c r="H80" s="153" t="str">
        <f aca="false">IF(Species!$G80&lt;=Species!$H80,IF(AND(6&gt;=Species!$G80,6&lt;=Species!$H80),"H",""),IF(OR(6&gt;=Species!$G80,6&lt;=Species!$H80),"H",""))&amp;IF(Species!$I80=6,"S","")</f>
        <v/>
      </c>
      <c r="I80" s="153" t="str">
        <f aca="false">IF(Species!$G80&lt;=Species!$H80,IF(AND(7&gt;=Species!$G80,7&lt;=Species!$H80),"H",""),IF(OR(7&gt;=Species!$G80,7&lt;=Species!$H80),"H",""))&amp;IF(Species!$I80=7,"S","")</f>
        <v/>
      </c>
      <c r="J80" s="153" t="str">
        <f aca="false">IF(Species!$G80&lt;=Species!$H80,IF(AND(8&gt;=Species!$G80,8&lt;=Species!$H80),"H",""),IF(OR(8&gt;=Species!$G80,8&lt;=Species!$H80),"H",""))&amp;IF(Species!$I80=8,"S","")</f>
        <v/>
      </c>
      <c r="K80" s="153" t="str">
        <f aca="false">IF(Species!$G80&lt;=Species!$H80,IF(AND(9&gt;=Species!$G80,9&lt;=Species!$H80),"H",""),IF(OR(9&gt;=Species!$G80,9&lt;=Species!$H80),"H",""))&amp;IF(Species!$I80=9,"S","")</f>
        <v/>
      </c>
      <c r="L80" s="153" t="str">
        <f aca="false">IF(Species!$G80&lt;=Species!$H80,IF(AND(10&gt;=Species!$G80,10&lt;=Species!$H80),"H",""),IF(OR(10&gt;=Species!$G80,10&lt;=Species!$H80),"H",""))&amp;IF(Species!$I80=10,"S","")</f>
        <v/>
      </c>
      <c r="M80" s="153" t="str">
        <f aca="false">IF(Species!$G80&lt;=Species!$H80,IF(AND(11&gt;=Species!$G80,11&lt;=Species!$H80),"H",""),IF(OR(11&gt;=Species!$G80,11&lt;=Species!$H80),"H",""))&amp;IF(Species!$I80=11,"S","")</f>
        <v/>
      </c>
      <c r="N80" s="153" t="str">
        <f aca="false">IF(Species!$G80&lt;=Species!$H80,IF(AND(12&gt;=Species!$G80,12&lt;=Species!$H80),"H",""),IF(OR(12&gt;=Species!$G80,12&lt;=Species!$H80),"H",""))&amp;IF(Species!$I80=12,"S","")</f>
        <v/>
      </c>
    </row>
    <row r="81" customFormat="false" ht="15" hidden="false" customHeight="false" outlineLevel="0" collapsed="false">
      <c r="A81" s="6" t="str">
        <f aca="false">Species!B81</f>
        <v>Wild Cherry Bark</v>
      </c>
      <c r="B81" s="6" t="str">
        <f aca="false">Species!F81</f>
        <v>Bark</v>
      </c>
      <c r="C81" s="153" t="str">
        <f aca="false">IF(Species!$G81&lt;=Species!$H81,IF(AND(1&gt;=Species!$G81,1&lt;=Species!$H81),"H",""),IF(OR(1&gt;=Species!$G81,1&lt;=Species!$H81),"H",""))&amp;IF(Species!$I81=1,"S","")</f>
        <v/>
      </c>
      <c r="D81" s="153" t="str">
        <f aca="false">IF(Species!$G81&lt;=Species!$H81,IF(AND(2&gt;=Species!$G81,2&lt;=Species!$H81),"H",""),IF(OR(2&gt;=Species!$G81,2&lt;=Species!$H81),"H",""))&amp;IF(Species!$I81=2,"S","")</f>
        <v/>
      </c>
      <c r="E81" s="153" t="str">
        <f aca="false">IF(Species!$G81&lt;=Species!$H81,IF(AND(3&gt;=Species!$G81,3&lt;=Species!$H81),"H",""),IF(OR(3&gt;=Species!$G81,3&lt;=Species!$H81),"H",""))&amp;IF(Species!$I81=3,"S","")</f>
        <v/>
      </c>
      <c r="F81" s="153" t="str">
        <f aca="false">IF(Species!$G81&lt;=Species!$H81,IF(AND(4&gt;=Species!$G81,4&lt;=Species!$H81),"H",""),IF(OR(4&gt;=Species!$G81,4&lt;=Species!$H81),"H",""))&amp;IF(Species!$I81=4,"S","")</f>
        <v/>
      </c>
      <c r="G81" s="153" t="str">
        <f aca="false">IF(Species!$G81&lt;=Species!$H81,IF(AND(5&gt;=Species!$G81,5&lt;=Species!$H81),"H",""),IF(OR(5&gt;=Species!$G81,5&lt;=Species!$H81),"H",""))&amp;IF(Species!$I81=5,"S","")</f>
        <v/>
      </c>
      <c r="H81" s="153" t="str">
        <f aca="false">IF(Species!$G81&lt;=Species!$H81,IF(AND(6&gt;=Species!$G81,6&lt;=Species!$H81),"H",""),IF(OR(6&gt;=Species!$G81,6&lt;=Species!$H81),"H",""))&amp;IF(Species!$I81=6,"S","")</f>
        <v/>
      </c>
      <c r="I81" s="153" t="str">
        <f aca="false">IF(Species!$G81&lt;=Species!$H81,IF(AND(7&gt;=Species!$G81,7&lt;=Species!$H81),"H",""),IF(OR(7&gt;=Species!$G81,7&lt;=Species!$H81),"H",""))&amp;IF(Species!$I81=7,"S","")</f>
        <v/>
      </c>
      <c r="J81" s="153" t="str">
        <f aca="false">IF(Species!$G81&lt;=Species!$H81,IF(AND(8&gt;=Species!$G81,8&lt;=Species!$H81),"H",""),IF(OR(8&gt;=Species!$G81,8&lt;=Species!$H81),"H",""))&amp;IF(Species!$I81=8,"S","")</f>
        <v>S</v>
      </c>
      <c r="K81" s="153" t="str">
        <f aca="false">IF(Species!$G81&lt;=Species!$H81,IF(AND(9&gt;=Species!$G81,9&lt;=Species!$H81),"H",""),IF(OR(9&gt;=Species!$G81,9&lt;=Species!$H81),"H",""))&amp;IF(Species!$I81=9,"S","")</f>
        <v>H</v>
      </c>
      <c r="L81" s="153" t="str">
        <f aca="false">IF(Species!$G81&lt;=Species!$H81,IF(AND(10&gt;=Species!$G81,10&lt;=Species!$H81),"H",""),IF(OR(10&gt;=Species!$G81,10&lt;=Species!$H81),"H",""))&amp;IF(Species!$I81=10,"S","")</f>
        <v>H</v>
      </c>
      <c r="M81" s="153" t="str">
        <f aca="false">IF(Species!$G81&lt;=Species!$H81,IF(AND(11&gt;=Species!$G81,11&lt;=Species!$H81),"H",""),IF(OR(11&gt;=Species!$G81,11&lt;=Species!$H81),"H",""))&amp;IF(Species!$I81=11,"S","")</f>
        <v>H</v>
      </c>
      <c r="N81" s="153" t="str">
        <f aca="false">IF(Species!$G81&lt;=Species!$H81,IF(AND(12&gt;=Species!$G81,12&lt;=Species!$H81),"H",""),IF(OR(12&gt;=Species!$G81,12&lt;=Species!$H81),"H",""))&amp;IF(Species!$I81=12,"S","")</f>
        <v/>
      </c>
    </row>
    <row r="82" customFormat="false" ht="15" hidden="false" customHeight="false" outlineLevel="0" collapsed="false">
      <c r="A82" s="6" t="str">
        <f aca="false">Species!B82</f>
        <v>Wild Cherry Fruit</v>
      </c>
      <c r="B82" s="6" t="str">
        <f aca="false">Species!F82</f>
        <v>Fruit</v>
      </c>
      <c r="C82" s="153" t="str">
        <f aca="false">IF(Species!$G82&lt;=Species!$H82,IF(AND(1&gt;=Species!$G82,1&lt;=Species!$H82),"H",""),IF(OR(1&gt;=Species!$G82,1&lt;=Species!$H82),"H",""))&amp;IF(Species!$I82=1,"S","")</f>
        <v/>
      </c>
      <c r="D82" s="153" t="str">
        <f aca="false">IF(Species!$G82&lt;=Species!$H82,IF(AND(2&gt;=Species!$G82,2&lt;=Species!$H82),"H",""),IF(OR(2&gt;=Species!$G82,2&lt;=Species!$H82),"H",""))&amp;IF(Species!$I82=2,"S","")</f>
        <v/>
      </c>
      <c r="E82" s="153" t="str">
        <f aca="false">IF(Species!$G82&lt;=Species!$H82,IF(AND(3&gt;=Species!$G82,3&lt;=Species!$H82),"H",""),IF(OR(3&gt;=Species!$G82,3&lt;=Species!$H82),"H",""))&amp;IF(Species!$I82=3,"S","")</f>
        <v/>
      </c>
      <c r="F82" s="153" t="str">
        <f aca="false">IF(Species!$G82&lt;=Species!$H82,IF(AND(4&gt;=Species!$G82,4&lt;=Species!$H82),"H",""),IF(OR(4&gt;=Species!$G82,4&lt;=Species!$H82),"H",""))&amp;IF(Species!$I82=4,"S","")</f>
        <v/>
      </c>
      <c r="G82" s="153" t="str">
        <f aca="false">IF(Species!$G82&lt;=Species!$H82,IF(AND(5&gt;=Species!$G82,5&lt;=Species!$H82),"H",""),IF(OR(5&gt;=Species!$G82,5&lt;=Species!$H82),"H",""))&amp;IF(Species!$I82=5,"S","")</f>
        <v/>
      </c>
      <c r="H82" s="153" t="str">
        <f aca="false">IF(Species!$G82&lt;=Species!$H82,IF(AND(6&gt;=Species!$G82,6&lt;=Species!$H82),"H",""),IF(OR(6&gt;=Species!$G82,6&lt;=Species!$H82),"H",""))&amp;IF(Species!$I82=6,"S","")</f>
        <v/>
      </c>
      <c r="I82" s="153" t="str">
        <f aca="false">IF(Species!$G82&lt;=Species!$H82,IF(AND(7&gt;=Species!$G82,7&lt;=Species!$H82),"H",""),IF(OR(7&gt;=Species!$G82,7&lt;=Species!$H82),"H",""))&amp;IF(Species!$I82=7,"S","")</f>
        <v/>
      </c>
      <c r="J82" s="153" t="str">
        <f aca="false">IF(Species!$G82&lt;=Species!$H82,IF(AND(8&gt;=Species!$G82,8&lt;=Species!$H82),"H",""),IF(OR(8&gt;=Species!$G82,8&lt;=Species!$H82),"H",""))&amp;IF(Species!$I82=8,"S","")</f>
        <v>H</v>
      </c>
      <c r="K82" s="153" t="str">
        <f aca="false">IF(Species!$G82&lt;=Species!$H82,IF(AND(9&gt;=Species!$G82,9&lt;=Species!$H82),"H",""),IF(OR(9&gt;=Species!$G82,9&lt;=Species!$H82),"H",""))&amp;IF(Species!$I82=9,"S","")</f>
        <v>H</v>
      </c>
      <c r="L82" s="153" t="str">
        <f aca="false">IF(Species!$G82&lt;=Species!$H82,IF(AND(10&gt;=Species!$G82,10&lt;=Species!$H82),"H",""),IF(OR(10&gt;=Species!$G82,10&lt;=Species!$H82),"H",""))&amp;IF(Species!$I82=10,"S","")</f>
        <v/>
      </c>
      <c r="M82" s="153" t="str">
        <f aca="false">IF(Species!$G82&lt;=Species!$H82,IF(AND(11&gt;=Species!$G82,11&lt;=Species!$H82),"H",""),IF(OR(11&gt;=Species!$G82,11&lt;=Species!$H82),"H",""))&amp;IF(Species!$I82=11,"S","")</f>
        <v/>
      </c>
      <c r="N82" s="153" t="str">
        <f aca="false">IF(Species!$G82&lt;=Species!$H82,IF(AND(12&gt;=Species!$G82,12&lt;=Species!$H82),"H",""),IF(OR(12&gt;=Species!$G82,12&lt;=Species!$H82),"H",""))&amp;IF(Species!$I82=12,"S","")</f>
        <v/>
      </c>
    </row>
    <row r="83" customFormat="false" ht="15" hidden="false" customHeight="false" outlineLevel="0" collapsed="false">
      <c r="A83" s="6" t="str">
        <f aca="false">Species!B83</f>
        <v>Witch Hazel</v>
      </c>
      <c r="B83" s="6" t="str">
        <f aca="false">Species!F83</f>
        <v>Bark</v>
      </c>
      <c r="C83" s="153" t="str">
        <f aca="false">IF(Species!$G83&lt;=Species!$H83,IF(AND(1&gt;=Species!$G83,1&lt;=Species!$H83),"H",""),IF(OR(1&gt;=Species!$G83,1&lt;=Species!$H83),"H",""))&amp;IF(Species!$I83=1,"S","")</f>
        <v/>
      </c>
      <c r="D83" s="153" t="str">
        <f aca="false">IF(Species!$G83&lt;=Species!$H83,IF(AND(2&gt;=Species!$G83,2&lt;=Species!$H83),"H",""),IF(OR(2&gt;=Species!$G83,2&lt;=Species!$H83),"H",""))&amp;IF(Species!$I83=2,"S","")</f>
        <v/>
      </c>
      <c r="E83" s="153" t="str">
        <f aca="false">IF(Species!$G83&lt;=Species!$H83,IF(AND(3&gt;=Species!$G83,3&lt;=Species!$H83),"H",""),IF(OR(3&gt;=Species!$G83,3&lt;=Species!$H83),"H",""))&amp;IF(Species!$I83=3,"S","")</f>
        <v/>
      </c>
      <c r="F83" s="153" t="str">
        <f aca="false">IF(Species!$G83&lt;=Species!$H83,IF(AND(4&gt;=Species!$G83,4&lt;=Species!$H83),"H",""),IF(OR(4&gt;=Species!$G83,4&lt;=Species!$H83),"H",""))&amp;IF(Species!$I83=4,"S","")</f>
        <v/>
      </c>
      <c r="G83" s="153" t="str">
        <f aca="false">IF(Species!$G83&lt;=Species!$H83,IF(AND(5&gt;=Species!$G83,5&lt;=Species!$H83),"H",""),IF(OR(5&gt;=Species!$G83,5&lt;=Species!$H83),"H",""))&amp;IF(Species!$I83=5,"S","")</f>
        <v/>
      </c>
      <c r="H83" s="153" t="str">
        <f aca="false">IF(Species!$G83&lt;=Species!$H83,IF(AND(6&gt;=Species!$G83,6&lt;=Species!$H83),"H",""),IF(OR(6&gt;=Species!$G83,6&lt;=Species!$H83),"H",""))&amp;IF(Species!$I83=6,"S","")</f>
        <v/>
      </c>
      <c r="I83" s="153" t="str">
        <f aca="false">IF(Species!$G83&lt;=Species!$H83,IF(AND(7&gt;=Species!$G83,7&lt;=Species!$H83),"H",""),IF(OR(7&gt;=Species!$G83,7&lt;=Species!$H83),"H",""))&amp;IF(Species!$I83=7,"S","")</f>
        <v/>
      </c>
      <c r="J83" s="153" t="str">
        <f aca="false">IF(Species!$G83&lt;=Species!$H83,IF(AND(8&gt;=Species!$G83,8&lt;=Species!$H83),"H",""),IF(OR(8&gt;=Species!$G83,8&lt;=Species!$H83),"H",""))&amp;IF(Species!$I83=8,"S","")</f>
        <v/>
      </c>
      <c r="K83" s="153" t="str">
        <f aca="false">IF(Species!$G83&lt;=Species!$H83,IF(AND(9&gt;=Species!$G83,9&lt;=Species!$H83),"H",""),IF(OR(9&gt;=Species!$G83,9&lt;=Species!$H83),"H",""))&amp;IF(Species!$I83=9,"S","")</f>
        <v/>
      </c>
      <c r="L83" s="153" t="str">
        <f aca="false">IF(Species!$G83&lt;=Species!$H83,IF(AND(10&gt;=Species!$G83,10&lt;=Species!$H83),"H",""),IF(OR(10&gt;=Species!$G83,10&lt;=Species!$H83),"H",""))&amp;IF(Species!$I83=10,"S","")</f>
        <v>HS</v>
      </c>
      <c r="M83" s="153" t="str">
        <f aca="false">IF(Species!$G83&lt;=Species!$H83,IF(AND(11&gt;=Species!$G83,11&lt;=Species!$H83),"H",""),IF(OR(11&gt;=Species!$G83,11&lt;=Species!$H83),"H",""))&amp;IF(Species!$I83=11,"S","")</f>
        <v>H</v>
      </c>
      <c r="N83" s="153" t="str">
        <f aca="false">IF(Species!$G83&lt;=Species!$H83,IF(AND(12&gt;=Species!$G83,12&lt;=Species!$H83),"H",""),IF(OR(12&gt;=Species!$G83,12&lt;=Species!$H83),"H",""))&amp;IF(Species!$I83=12,"S","")</f>
        <v>H</v>
      </c>
    </row>
    <row r="84" customFormat="false" ht="15" hidden="false" customHeight="false" outlineLevel="0" collapsed="false">
      <c r="A84" s="6" t="str">
        <f aca="false">Species!B84</f>
        <v>Staghorn Sumac Berry</v>
      </c>
      <c r="B84" s="6" t="str">
        <f aca="false">Species!F84</f>
        <v>Fruit</v>
      </c>
      <c r="C84" s="153" t="str">
        <f aca="false">IF(Species!$G84&lt;=Species!$H84,IF(AND(1&gt;=Species!$G84,1&lt;=Species!$H84),"H",""),IF(OR(1&gt;=Species!$G84,1&lt;=Species!$H84),"H",""))&amp;IF(Species!$I84=1,"S","")</f>
        <v/>
      </c>
      <c r="D84" s="153" t="str">
        <f aca="false">IF(Species!$G84&lt;=Species!$H84,IF(AND(2&gt;=Species!$G84,2&lt;=Species!$H84),"H",""),IF(OR(2&gt;=Species!$G84,2&lt;=Species!$H84),"H",""))&amp;IF(Species!$I84=2,"S","")</f>
        <v/>
      </c>
      <c r="E84" s="153" t="str">
        <f aca="false">IF(Species!$G84&lt;=Species!$H84,IF(AND(3&gt;=Species!$G84,3&lt;=Species!$H84),"H",""),IF(OR(3&gt;=Species!$G84,3&lt;=Species!$H84),"H",""))&amp;IF(Species!$I84=3,"S","")</f>
        <v/>
      </c>
      <c r="F84" s="153" t="str">
        <f aca="false">IF(Species!$G84&lt;=Species!$H84,IF(AND(4&gt;=Species!$G84,4&lt;=Species!$H84),"H",""),IF(OR(4&gt;=Species!$G84,4&lt;=Species!$H84),"H",""))&amp;IF(Species!$I84=4,"S","")</f>
        <v/>
      </c>
      <c r="G84" s="153" t="str">
        <f aca="false">IF(Species!$G84&lt;=Species!$H84,IF(AND(5&gt;=Species!$G84,5&lt;=Species!$H84),"H",""),IF(OR(5&gt;=Species!$G84,5&lt;=Species!$H84),"H",""))&amp;IF(Species!$I84=5,"S","")</f>
        <v/>
      </c>
      <c r="H84" s="153" t="str">
        <f aca="false">IF(Species!$G84&lt;=Species!$H84,IF(AND(6&gt;=Species!$G84,6&lt;=Species!$H84),"H",""),IF(OR(6&gt;=Species!$G84,6&lt;=Species!$H84),"H",""))&amp;IF(Species!$I84=6,"S","")</f>
        <v/>
      </c>
      <c r="I84" s="153" t="str">
        <f aca="false">IF(Species!$G84&lt;=Species!$H84,IF(AND(7&gt;=Species!$G84,7&lt;=Species!$H84),"H",""),IF(OR(7&gt;=Species!$G84,7&lt;=Species!$H84),"H",""))&amp;IF(Species!$I84=7,"S","")</f>
        <v/>
      </c>
      <c r="J84" s="153" t="str">
        <f aca="false">IF(Species!$G84&lt;=Species!$H84,IF(AND(8&gt;=Species!$G84,8&lt;=Species!$H84),"H",""),IF(OR(8&gt;=Species!$G84,8&lt;=Species!$H84),"H",""))&amp;IF(Species!$I84=8,"S","")</f>
        <v>H</v>
      </c>
      <c r="K84" s="153" t="str">
        <f aca="false">IF(Species!$G84&lt;=Species!$H84,IF(AND(9&gt;=Species!$G84,9&lt;=Species!$H84),"H",""),IF(OR(9&gt;=Species!$G84,9&lt;=Species!$H84),"H",""))&amp;IF(Species!$I84=9,"S","")</f>
        <v>H</v>
      </c>
      <c r="L84" s="153" t="str">
        <f aca="false">IF(Species!$G84&lt;=Species!$H84,IF(AND(10&gt;=Species!$G84,10&lt;=Species!$H84),"H",""),IF(OR(10&gt;=Species!$G84,10&lt;=Species!$H84),"H",""))&amp;IF(Species!$I84=10,"S","")</f>
        <v>H</v>
      </c>
      <c r="M84" s="153" t="str">
        <f aca="false">IF(Species!$G84&lt;=Species!$H84,IF(AND(11&gt;=Species!$G84,11&lt;=Species!$H84),"H",""),IF(OR(11&gt;=Species!$G84,11&lt;=Species!$H84),"H",""))&amp;IF(Species!$I84=11,"S","")</f>
        <v/>
      </c>
      <c r="N84" s="153" t="str">
        <f aca="false">IF(Species!$G84&lt;=Species!$H84,IF(AND(12&gt;=Species!$G84,12&lt;=Species!$H84),"H",""),IF(OR(12&gt;=Species!$G84,12&lt;=Species!$H84),"H",""))&amp;IF(Species!$I84=12,"S","")</f>
        <v/>
      </c>
    </row>
    <row r="85" customFormat="false" ht="15" hidden="false" customHeight="false" outlineLevel="0" collapsed="false">
      <c r="A85" s="6" t="str">
        <f aca="false">Species!B85</f>
        <v>Smooth Sumac Leaf</v>
      </c>
      <c r="B85" s="6" t="str">
        <f aca="false">Species!F85</f>
        <v>Leaf</v>
      </c>
      <c r="C85" s="153" t="str">
        <f aca="false">IF(Species!$G85&lt;=Species!$H85,IF(AND(1&gt;=Species!$G85,1&lt;=Species!$H85),"H",""),IF(OR(1&gt;=Species!$G85,1&lt;=Species!$H85),"H",""))&amp;IF(Species!$I85=1,"S","")</f>
        <v/>
      </c>
      <c r="D85" s="153" t="str">
        <f aca="false">IF(Species!$G85&lt;=Species!$H85,IF(AND(2&gt;=Species!$G85,2&lt;=Species!$H85),"H",""),IF(OR(2&gt;=Species!$G85,2&lt;=Species!$H85),"H",""))&amp;IF(Species!$I85=2,"S","")</f>
        <v/>
      </c>
      <c r="E85" s="153" t="str">
        <f aca="false">IF(Species!$G85&lt;=Species!$H85,IF(AND(3&gt;=Species!$G85,3&lt;=Species!$H85),"H",""),IF(OR(3&gt;=Species!$G85,3&lt;=Species!$H85),"H",""))&amp;IF(Species!$I85=3,"S","")</f>
        <v/>
      </c>
      <c r="F85" s="153" t="str">
        <f aca="false">IF(Species!$G85&lt;=Species!$H85,IF(AND(4&gt;=Species!$G85,4&lt;=Species!$H85),"H",""),IF(OR(4&gt;=Species!$G85,4&lt;=Species!$H85),"H",""))&amp;IF(Species!$I85=4,"S","")</f>
        <v/>
      </c>
      <c r="G85" s="153" t="str">
        <f aca="false">IF(Species!$G85&lt;=Species!$H85,IF(AND(5&gt;=Species!$G85,5&lt;=Species!$H85),"H",""),IF(OR(5&gt;=Species!$G85,5&lt;=Species!$H85),"H",""))&amp;IF(Species!$I85=5,"S","")</f>
        <v/>
      </c>
      <c r="H85" s="153" t="str">
        <f aca="false">IF(Species!$G85&lt;=Species!$H85,IF(AND(6&gt;=Species!$G85,6&lt;=Species!$H85),"H",""),IF(OR(6&gt;=Species!$G85,6&lt;=Species!$H85),"H",""))&amp;IF(Species!$I85=6,"S","")</f>
        <v/>
      </c>
      <c r="I85" s="153" t="str">
        <f aca="false">IF(Species!$G85&lt;=Species!$H85,IF(AND(7&gt;=Species!$G85,7&lt;=Species!$H85),"H",""),IF(OR(7&gt;=Species!$G85,7&lt;=Species!$H85),"H",""))&amp;IF(Species!$I85=7,"S","")</f>
        <v/>
      </c>
      <c r="J85" s="153" t="str">
        <f aca="false">IF(Species!$G85&lt;=Species!$H85,IF(AND(8&gt;=Species!$G85,8&lt;=Species!$H85),"H",""),IF(OR(8&gt;=Species!$G85,8&lt;=Species!$H85),"H",""))&amp;IF(Species!$I85=8,"S","")</f>
        <v/>
      </c>
      <c r="K85" s="153" t="str">
        <f aca="false">IF(Species!$G85&lt;=Species!$H85,IF(AND(9&gt;=Species!$G85,9&lt;=Species!$H85),"H",""),IF(OR(9&gt;=Species!$G85,9&lt;=Species!$H85),"H",""))&amp;IF(Species!$I85=9,"S","")</f>
        <v>H</v>
      </c>
      <c r="L85" s="153" t="str">
        <f aca="false">IF(Species!$G85&lt;=Species!$H85,IF(AND(10&gt;=Species!$G85,10&lt;=Species!$H85),"H",""),IF(OR(10&gt;=Species!$G85,10&lt;=Species!$H85),"H",""))&amp;IF(Species!$I85=10,"S","")</f>
        <v>H</v>
      </c>
      <c r="M85" s="153" t="str">
        <f aca="false">IF(Species!$G85&lt;=Species!$H85,IF(AND(11&gt;=Species!$G85,11&lt;=Species!$H85),"H",""),IF(OR(11&gt;=Species!$G85,11&lt;=Species!$H85),"H",""))&amp;IF(Species!$I85=11,"S","")</f>
        <v/>
      </c>
      <c r="N85" s="153" t="str">
        <f aca="false">IF(Species!$G85&lt;=Species!$H85,IF(AND(12&gt;=Species!$G85,12&lt;=Species!$H85),"H",""),IF(OR(12&gt;=Species!$G85,12&lt;=Species!$H85),"H",""))&amp;IF(Species!$I85=12,"S","")</f>
        <v/>
      </c>
    </row>
    <row r="86" customFormat="false" ht="15" hidden="false" customHeight="false" outlineLevel="0" collapsed="false">
      <c r="A86" s="6" t="str">
        <f aca="false">Species!B86</f>
        <v>Poison Ivy</v>
      </c>
      <c r="B86" s="6" t="str">
        <f aca="false">Species!F86</f>
        <v>Leaf</v>
      </c>
      <c r="C86" s="153" t="str">
        <f aca="false">IF(Species!$G86&lt;=Species!$H86,IF(AND(1&gt;=Species!$G86,1&lt;=Species!$H86),"H",""),IF(OR(1&gt;=Species!$G86,1&lt;=Species!$H86),"H",""))&amp;IF(Species!$I86=1,"S","")</f>
        <v/>
      </c>
      <c r="D86" s="153" t="str">
        <f aca="false">IF(Species!$G86&lt;=Species!$H86,IF(AND(2&gt;=Species!$G86,2&lt;=Species!$H86),"H",""),IF(OR(2&gt;=Species!$G86,2&lt;=Species!$H86),"H",""))&amp;IF(Species!$I86=2,"S","")</f>
        <v/>
      </c>
      <c r="E86" s="153" t="str">
        <f aca="false">IF(Species!$G86&lt;=Species!$H86,IF(AND(3&gt;=Species!$G86,3&lt;=Species!$H86),"H",""),IF(OR(3&gt;=Species!$G86,3&lt;=Species!$H86),"H",""))&amp;IF(Species!$I86=3,"S","")</f>
        <v/>
      </c>
      <c r="F86" s="153" t="str">
        <f aca="false">IF(Species!$G86&lt;=Species!$H86,IF(AND(4&gt;=Species!$G86,4&lt;=Species!$H86),"H",""),IF(OR(4&gt;=Species!$G86,4&lt;=Species!$H86),"H",""))&amp;IF(Species!$I86=4,"S","")</f>
        <v/>
      </c>
      <c r="G86" s="153" t="str">
        <f aca="false">IF(Species!$G86&lt;=Species!$H86,IF(AND(5&gt;=Species!$G86,5&lt;=Species!$H86),"H",""),IF(OR(5&gt;=Species!$G86,5&lt;=Species!$H86),"H",""))&amp;IF(Species!$I86=5,"S","")</f>
        <v>H</v>
      </c>
      <c r="H86" s="153" t="str">
        <f aca="false">IF(Species!$G86&lt;=Species!$H86,IF(AND(6&gt;=Species!$G86,6&lt;=Species!$H86),"H",""),IF(OR(6&gt;=Species!$G86,6&lt;=Species!$H86),"H",""))&amp;IF(Species!$I86=6,"S","")</f>
        <v>H</v>
      </c>
      <c r="I86" s="153" t="str">
        <f aca="false">IF(Species!$G86&lt;=Species!$H86,IF(AND(7&gt;=Species!$G86,7&lt;=Species!$H86),"H",""),IF(OR(7&gt;=Species!$G86,7&lt;=Species!$H86),"H",""))&amp;IF(Species!$I86=7,"S","")</f>
        <v>H</v>
      </c>
      <c r="J86" s="153" t="str">
        <f aca="false">IF(Species!$G86&lt;=Species!$H86,IF(AND(8&gt;=Species!$G86,8&lt;=Species!$H86),"H",""),IF(OR(8&gt;=Species!$G86,8&lt;=Species!$H86),"H",""))&amp;IF(Species!$I86=8,"S","")</f>
        <v>H</v>
      </c>
      <c r="K86" s="153" t="str">
        <f aca="false">IF(Species!$G86&lt;=Species!$H86,IF(AND(9&gt;=Species!$G86,9&lt;=Species!$H86),"H",""),IF(OR(9&gt;=Species!$G86,9&lt;=Species!$H86),"H",""))&amp;IF(Species!$I86=9,"S","")</f>
        <v>H</v>
      </c>
      <c r="L86" s="153" t="str">
        <f aca="false">IF(Species!$G86&lt;=Species!$H86,IF(AND(10&gt;=Species!$G86,10&lt;=Species!$H86),"H",""),IF(OR(10&gt;=Species!$G86,10&lt;=Species!$H86),"H",""))&amp;IF(Species!$I86=10,"S","")</f>
        <v/>
      </c>
      <c r="M86" s="153" t="str">
        <f aca="false">IF(Species!$G86&lt;=Species!$H86,IF(AND(11&gt;=Species!$G86,11&lt;=Species!$H86),"H",""),IF(OR(11&gt;=Species!$G86,11&lt;=Species!$H86),"H",""))&amp;IF(Species!$I86=11,"S","")</f>
        <v/>
      </c>
      <c r="N86" s="153" t="str">
        <f aca="false">IF(Species!$G86&lt;=Species!$H86,IF(AND(12&gt;=Species!$G86,12&lt;=Species!$H86),"H",""),IF(OR(12&gt;=Species!$G86,12&lt;=Species!$H86),"H",""))&amp;IF(Species!$I86=12,"S","")</f>
        <v/>
      </c>
    </row>
    <row r="87" customFormat="false" ht="15" hidden="false" customHeight="false" outlineLevel="0" collapsed="false">
      <c r="A87" s="6" t="str">
        <f aca="false">Species!B87</f>
        <v>Elderberry</v>
      </c>
      <c r="B87" s="6" t="str">
        <f aca="false">Species!F87</f>
        <v>Fruit</v>
      </c>
      <c r="C87" s="153" t="str">
        <f aca="false">IF(Species!$G87&lt;=Species!$H87,IF(AND(1&gt;=Species!$G87,1&lt;=Species!$H87),"H",""),IF(OR(1&gt;=Species!$G87,1&lt;=Species!$H87),"H",""))&amp;IF(Species!$I87=1,"S","")</f>
        <v/>
      </c>
      <c r="D87" s="153" t="str">
        <f aca="false">IF(Species!$G87&lt;=Species!$H87,IF(AND(2&gt;=Species!$G87,2&lt;=Species!$H87),"H",""),IF(OR(2&gt;=Species!$G87,2&lt;=Species!$H87),"H",""))&amp;IF(Species!$I87=2,"S","")</f>
        <v/>
      </c>
      <c r="E87" s="153" t="str">
        <f aca="false">IF(Species!$G87&lt;=Species!$H87,IF(AND(3&gt;=Species!$G87,3&lt;=Species!$H87),"H",""),IF(OR(3&gt;=Species!$G87,3&lt;=Species!$H87),"H",""))&amp;IF(Species!$I87=3,"S","")</f>
        <v/>
      </c>
      <c r="F87" s="153" t="str">
        <f aca="false">IF(Species!$G87&lt;=Species!$H87,IF(AND(4&gt;=Species!$G87,4&lt;=Species!$H87),"H",""),IF(OR(4&gt;=Species!$G87,4&lt;=Species!$H87),"H",""))&amp;IF(Species!$I87=4,"S","")</f>
        <v/>
      </c>
      <c r="G87" s="153" t="str">
        <f aca="false">IF(Species!$G87&lt;=Species!$H87,IF(AND(5&gt;=Species!$G87,5&lt;=Species!$H87),"H",""),IF(OR(5&gt;=Species!$G87,5&lt;=Species!$H87),"H",""))&amp;IF(Species!$I87=5,"S","")</f>
        <v/>
      </c>
      <c r="H87" s="153" t="str">
        <f aca="false">IF(Species!$G87&lt;=Species!$H87,IF(AND(6&gt;=Species!$G87,6&lt;=Species!$H87),"H",""),IF(OR(6&gt;=Species!$G87,6&lt;=Species!$H87),"H",""))&amp;IF(Species!$I87=6,"S","")</f>
        <v/>
      </c>
      <c r="I87" s="153" t="str">
        <f aca="false">IF(Species!$G87&lt;=Species!$H87,IF(AND(7&gt;=Species!$G87,7&lt;=Species!$H87),"H",""),IF(OR(7&gt;=Species!$G87,7&lt;=Species!$H87),"H",""))&amp;IF(Species!$I87=7,"S","")</f>
        <v/>
      </c>
      <c r="J87" s="153" t="str">
        <f aca="false">IF(Species!$G87&lt;=Species!$H87,IF(AND(8&gt;=Species!$G87,8&lt;=Species!$H87),"H",""),IF(OR(8&gt;=Species!$G87,8&lt;=Species!$H87),"H",""))&amp;IF(Species!$I87=8,"S","")</f>
        <v>H</v>
      </c>
      <c r="K87" s="153" t="str">
        <f aca="false">IF(Species!$G87&lt;=Species!$H87,IF(AND(9&gt;=Species!$G87,9&lt;=Species!$H87),"H",""),IF(OR(9&gt;=Species!$G87,9&lt;=Species!$H87),"H",""))&amp;IF(Species!$I87=9,"S","")</f>
        <v>HS</v>
      </c>
      <c r="L87" s="153" t="str">
        <f aca="false">IF(Species!$G87&lt;=Species!$H87,IF(AND(10&gt;=Species!$G87,10&lt;=Species!$H87),"H",""),IF(OR(10&gt;=Species!$G87,10&lt;=Species!$H87),"H",""))&amp;IF(Species!$I87=10,"S","")</f>
        <v/>
      </c>
      <c r="M87" s="153" t="str">
        <f aca="false">IF(Species!$G87&lt;=Species!$H87,IF(AND(11&gt;=Species!$G87,11&lt;=Species!$H87),"H",""),IF(OR(11&gt;=Species!$G87,11&lt;=Species!$H87),"H",""))&amp;IF(Species!$I87=11,"S","")</f>
        <v/>
      </c>
      <c r="N87" s="153" t="str">
        <f aca="false">IF(Species!$G87&lt;=Species!$H87,IF(AND(12&gt;=Species!$G87,12&lt;=Species!$H87),"H",""),IF(OR(12&gt;=Species!$G87,12&lt;=Species!$H87),"H",""))&amp;IF(Species!$I87=12,"S","")</f>
        <v/>
      </c>
    </row>
    <row r="88" customFormat="false" ht="15" hidden="false" customHeight="false" outlineLevel="0" collapsed="false">
      <c r="A88" s="6" t="str">
        <f aca="false">Species!B88</f>
        <v>Elderflower</v>
      </c>
      <c r="B88" s="6" t="str">
        <f aca="false">Species!F88</f>
        <v>Flower</v>
      </c>
      <c r="C88" s="153" t="str">
        <f aca="false">IF(Species!$G88&lt;=Species!$H88,IF(AND(1&gt;=Species!$G88,1&lt;=Species!$H88),"H",""),IF(OR(1&gt;=Species!$G88,1&lt;=Species!$H88),"H",""))&amp;IF(Species!$I88=1,"S","")</f>
        <v/>
      </c>
      <c r="D88" s="153" t="str">
        <f aca="false">IF(Species!$G88&lt;=Species!$H88,IF(AND(2&gt;=Species!$G88,2&lt;=Species!$H88),"H",""),IF(OR(2&gt;=Species!$G88,2&lt;=Species!$H88),"H",""))&amp;IF(Species!$I88=2,"S","")</f>
        <v/>
      </c>
      <c r="E88" s="153" t="str">
        <f aca="false">IF(Species!$G88&lt;=Species!$H88,IF(AND(3&gt;=Species!$G88,3&lt;=Species!$H88),"H",""),IF(OR(3&gt;=Species!$G88,3&lt;=Species!$H88),"H",""))&amp;IF(Species!$I88=3,"S","")</f>
        <v/>
      </c>
      <c r="F88" s="153" t="str">
        <f aca="false">IF(Species!$G88&lt;=Species!$H88,IF(AND(4&gt;=Species!$G88,4&lt;=Species!$H88),"H",""),IF(OR(4&gt;=Species!$G88,4&lt;=Species!$H88),"H",""))&amp;IF(Species!$I88=4,"S","")</f>
        <v/>
      </c>
      <c r="G88" s="153" t="str">
        <f aca="false">IF(Species!$G88&lt;=Species!$H88,IF(AND(5&gt;=Species!$G88,5&lt;=Species!$H88),"H",""),IF(OR(5&gt;=Species!$G88,5&lt;=Species!$H88),"H",""))&amp;IF(Species!$I88=5,"S","")</f>
        <v/>
      </c>
      <c r="H88" s="153" t="str">
        <f aca="false">IF(Species!$G88&lt;=Species!$H88,IF(AND(6&gt;=Species!$G88,6&lt;=Species!$H88),"H",""),IF(OR(6&gt;=Species!$G88,6&lt;=Species!$H88),"H",""))&amp;IF(Species!$I88=6,"S","")</f>
        <v>H</v>
      </c>
      <c r="I88" s="153" t="str">
        <f aca="false">IF(Species!$G88&lt;=Species!$H88,IF(AND(7&gt;=Species!$G88,7&lt;=Species!$H88),"H",""),IF(OR(7&gt;=Species!$G88,7&lt;=Species!$H88),"H",""))&amp;IF(Species!$I88=7,"S","")</f>
        <v>H</v>
      </c>
      <c r="J88" s="153" t="str">
        <f aca="false">IF(Species!$G88&lt;=Species!$H88,IF(AND(8&gt;=Species!$G88,8&lt;=Species!$H88),"H",""),IF(OR(8&gt;=Species!$G88,8&lt;=Species!$H88),"H",""))&amp;IF(Species!$I88=8,"S","")</f>
        <v/>
      </c>
      <c r="K88" s="153" t="str">
        <f aca="false">IF(Species!$G88&lt;=Species!$H88,IF(AND(9&gt;=Species!$G88,9&lt;=Species!$H88),"H",""),IF(OR(9&gt;=Species!$G88,9&lt;=Species!$H88),"H",""))&amp;IF(Species!$I88=9,"S","")</f>
        <v/>
      </c>
      <c r="L88" s="153" t="str">
        <f aca="false">IF(Species!$G88&lt;=Species!$H88,IF(AND(10&gt;=Species!$G88,10&lt;=Species!$H88),"H",""),IF(OR(10&gt;=Species!$G88,10&lt;=Species!$H88),"H",""))&amp;IF(Species!$I88=10,"S","")</f>
        <v/>
      </c>
      <c r="M88" s="153" t="str">
        <f aca="false">IF(Species!$G88&lt;=Species!$H88,IF(AND(11&gt;=Species!$G88,11&lt;=Species!$H88),"H",""),IF(OR(11&gt;=Species!$G88,11&lt;=Species!$H88),"H",""))&amp;IF(Species!$I88=11,"S","")</f>
        <v/>
      </c>
      <c r="N88" s="153" t="str">
        <f aca="false">IF(Species!$G88&lt;=Species!$H88,IF(AND(12&gt;=Species!$G88,12&lt;=Species!$H88),"H",""),IF(OR(12&gt;=Species!$G88,12&lt;=Species!$H88),"H",""))&amp;IF(Species!$I88=12,"S","")</f>
        <v/>
      </c>
    </row>
    <row r="89" customFormat="false" ht="15" hidden="false" customHeight="false" outlineLevel="0" collapsed="false">
      <c r="A89" s="6" t="str">
        <f aca="false">Species!B89</f>
        <v>Downy Hawthorn</v>
      </c>
      <c r="B89" s="6" t="str">
        <f aca="false">Species!F89</f>
        <v>Fruit</v>
      </c>
      <c r="C89" s="153" t="str">
        <f aca="false">IF(Species!$G89&lt;=Species!$H89,IF(AND(1&gt;=Species!$G89,1&lt;=Species!$H89),"H",""),IF(OR(1&gt;=Species!$G89,1&lt;=Species!$H89),"H",""))&amp;IF(Species!$I89=1,"S","")</f>
        <v/>
      </c>
      <c r="D89" s="153" t="str">
        <f aca="false">IF(Species!$G89&lt;=Species!$H89,IF(AND(2&gt;=Species!$G89,2&lt;=Species!$H89),"H",""),IF(OR(2&gt;=Species!$G89,2&lt;=Species!$H89),"H",""))&amp;IF(Species!$I89=2,"S","")</f>
        <v/>
      </c>
      <c r="E89" s="153" t="str">
        <f aca="false">IF(Species!$G89&lt;=Species!$H89,IF(AND(3&gt;=Species!$G89,3&lt;=Species!$H89),"H",""),IF(OR(3&gt;=Species!$G89,3&lt;=Species!$H89),"H",""))&amp;IF(Species!$I89=3,"S","")</f>
        <v/>
      </c>
      <c r="F89" s="153" t="str">
        <f aca="false">IF(Species!$G89&lt;=Species!$H89,IF(AND(4&gt;=Species!$G89,4&lt;=Species!$H89),"H",""),IF(OR(4&gt;=Species!$G89,4&lt;=Species!$H89),"H",""))&amp;IF(Species!$I89=4,"S","")</f>
        <v/>
      </c>
      <c r="G89" s="153" t="str">
        <f aca="false">IF(Species!$G89&lt;=Species!$H89,IF(AND(5&gt;=Species!$G89,5&lt;=Species!$H89),"H",""),IF(OR(5&gt;=Species!$G89,5&lt;=Species!$H89),"H",""))&amp;IF(Species!$I89=5,"S","")</f>
        <v/>
      </c>
      <c r="H89" s="153" t="str">
        <f aca="false">IF(Species!$G89&lt;=Species!$H89,IF(AND(6&gt;=Species!$G89,6&lt;=Species!$H89),"H",""),IF(OR(6&gt;=Species!$G89,6&lt;=Species!$H89),"H",""))&amp;IF(Species!$I89=6,"S","")</f>
        <v/>
      </c>
      <c r="I89" s="153" t="str">
        <f aca="false">IF(Species!$G89&lt;=Species!$H89,IF(AND(7&gt;=Species!$G89,7&lt;=Species!$H89),"H",""),IF(OR(7&gt;=Species!$G89,7&lt;=Species!$H89),"H",""))&amp;IF(Species!$I89=7,"S","")</f>
        <v/>
      </c>
      <c r="J89" s="153" t="str">
        <f aca="false">IF(Species!$G89&lt;=Species!$H89,IF(AND(8&gt;=Species!$G89,8&lt;=Species!$H89),"H",""),IF(OR(8&gt;=Species!$G89,8&lt;=Species!$H89),"H",""))&amp;IF(Species!$I89=8,"S","")</f>
        <v/>
      </c>
      <c r="K89" s="153" t="str">
        <f aca="false">IF(Species!$G89&lt;=Species!$H89,IF(AND(9&gt;=Species!$G89,9&lt;=Species!$H89),"H",""),IF(OR(9&gt;=Species!$G89,9&lt;=Species!$H89),"H",""))&amp;IF(Species!$I89=9,"S","")</f>
        <v>H</v>
      </c>
      <c r="L89" s="153" t="str">
        <f aca="false">IF(Species!$G89&lt;=Species!$H89,IF(AND(10&gt;=Species!$G89,10&lt;=Species!$H89),"H",""),IF(OR(10&gt;=Species!$G89,10&lt;=Species!$H89),"H",""))&amp;IF(Species!$I89=10,"S","")</f>
        <v>HS</v>
      </c>
      <c r="M89" s="153" t="str">
        <f aca="false">IF(Species!$G89&lt;=Species!$H89,IF(AND(11&gt;=Species!$G89,11&lt;=Species!$H89),"H",""),IF(OR(11&gt;=Species!$G89,11&lt;=Species!$H89),"H",""))&amp;IF(Species!$I89=11,"S","")</f>
        <v/>
      </c>
      <c r="N89" s="153" t="str">
        <f aca="false">IF(Species!$G89&lt;=Species!$H89,IF(AND(12&gt;=Species!$G89,12&lt;=Species!$H89),"H",""),IF(OR(12&gt;=Species!$G89,12&lt;=Species!$H89),"H",""))&amp;IF(Species!$I89=12,"S","")</f>
        <v/>
      </c>
    </row>
    <row r="90" customFormat="false" ht="15" hidden="false" customHeight="false" outlineLevel="0" collapsed="false">
      <c r="A90" s="6" t="str">
        <f aca="false">Species!B90</f>
        <v>Pasture Rose Hip</v>
      </c>
      <c r="B90" s="6" t="str">
        <f aca="false">Species!F90</f>
        <v>Fruit</v>
      </c>
      <c r="C90" s="153" t="str">
        <f aca="false">IF(Species!$G90&lt;=Species!$H90,IF(AND(1&gt;=Species!$G90,1&lt;=Species!$H90),"H",""),IF(OR(1&gt;=Species!$G90,1&lt;=Species!$H90),"H",""))&amp;IF(Species!$I90=1,"S","")</f>
        <v/>
      </c>
      <c r="D90" s="153" t="str">
        <f aca="false">IF(Species!$G90&lt;=Species!$H90,IF(AND(2&gt;=Species!$G90,2&lt;=Species!$H90),"H",""),IF(OR(2&gt;=Species!$G90,2&lt;=Species!$H90),"H",""))&amp;IF(Species!$I90=2,"S","")</f>
        <v/>
      </c>
      <c r="E90" s="153" t="str">
        <f aca="false">IF(Species!$G90&lt;=Species!$H90,IF(AND(3&gt;=Species!$G90,3&lt;=Species!$H90),"H",""),IF(OR(3&gt;=Species!$G90,3&lt;=Species!$H90),"H",""))&amp;IF(Species!$I90=3,"S","")</f>
        <v/>
      </c>
      <c r="F90" s="153" t="str">
        <f aca="false">IF(Species!$G90&lt;=Species!$H90,IF(AND(4&gt;=Species!$G90,4&lt;=Species!$H90),"H",""),IF(OR(4&gt;=Species!$G90,4&lt;=Species!$H90),"H",""))&amp;IF(Species!$I90=4,"S","")</f>
        <v/>
      </c>
      <c r="G90" s="153" t="str">
        <f aca="false">IF(Species!$G90&lt;=Species!$H90,IF(AND(5&gt;=Species!$G90,5&lt;=Species!$H90),"H",""),IF(OR(5&gt;=Species!$G90,5&lt;=Species!$H90),"H",""))&amp;IF(Species!$I90=5,"S","")</f>
        <v/>
      </c>
      <c r="H90" s="153" t="str">
        <f aca="false">IF(Species!$G90&lt;=Species!$H90,IF(AND(6&gt;=Species!$G90,6&lt;=Species!$H90),"H",""),IF(OR(6&gt;=Species!$G90,6&lt;=Species!$H90),"H",""))&amp;IF(Species!$I90=6,"S","")</f>
        <v/>
      </c>
      <c r="I90" s="153" t="str">
        <f aca="false">IF(Species!$G90&lt;=Species!$H90,IF(AND(7&gt;=Species!$G90,7&lt;=Species!$H90),"H",""),IF(OR(7&gt;=Species!$G90,7&lt;=Species!$H90),"H",""))&amp;IF(Species!$I90=7,"S","")</f>
        <v/>
      </c>
      <c r="J90" s="153" t="str">
        <f aca="false">IF(Species!$G90&lt;=Species!$H90,IF(AND(8&gt;=Species!$G90,8&lt;=Species!$H90),"H",""),IF(OR(8&gt;=Species!$G90,8&lt;=Species!$H90),"H",""))&amp;IF(Species!$I90=8,"S","")</f>
        <v/>
      </c>
      <c r="K90" s="153" t="str">
        <f aca="false">IF(Species!$G90&lt;=Species!$H90,IF(AND(9&gt;=Species!$G90,9&lt;=Species!$H90),"H",""),IF(OR(9&gt;=Species!$G90,9&lt;=Species!$H90),"H",""))&amp;IF(Species!$I90=9,"S","")</f>
        <v>H</v>
      </c>
      <c r="L90" s="153" t="str">
        <f aca="false">IF(Species!$G90&lt;=Species!$H90,IF(AND(10&gt;=Species!$G90,10&lt;=Species!$H90),"H",""),IF(OR(10&gt;=Species!$G90,10&lt;=Species!$H90),"H",""))&amp;IF(Species!$I90=10,"S","")</f>
        <v>HS</v>
      </c>
      <c r="M90" s="153" t="str">
        <f aca="false">IF(Species!$G90&lt;=Species!$H90,IF(AND(11&gt;=Species!$G90,11&lt;=Species!$H90),"H",""),IF(OR(11&gt;=Species!$G90,11&lt;=Species!$H90),"H",""))&amp;IF(Species!$I90=11,"S","")</f>
        <v>H</v>
      </c>
      <c r="N90" s="153" t="str">
        <f aca="false">IF(Species!$G90&lt;=Species!$H90,IF(AND(12&gt;=Species!$G90,12&lt;=Species!$H90),"H",""),IF(OR(12&gt;=Species!$G90,12&lt;=Species!$H90),"H",""))&amp;IF(Species!$I90=12,"S","")</f>
        <v>H</v>
      </c>
    </row>
    <row r="91" customFormat="false" ht="15" hidden="false" customHeight="false" outlineLevel="0" collapsed="false">
      <c r="A91" s="6" t="str">
        <f aca="false">Species!B91</f>
        <v>Pasture Rose Petal</v>
      </c>
      <c r="B91" s="6" t="str">
        <f aca="false">Species!F91</f>
        <v>Flower</v>
      </c>
      <c r="C91" s="153" t="str">
        <f aca="false">IF(Species!$G91&lt;=Species!$H91,IF(AND(1&gt;=Species!$G91,1&lt;=Species!$H91),"H",""),IF(OR(1&gt;=Species!$G91,1&lt;=Species!$H91),"H",""))&amp;IF(Species!$I91=1,"S","")</f>
        <v/>
      </c>
      <c r="D91" s="153" t="str">
        <f aca="false">IF(Species!$G91&lt;=Species!$H91,IF(AND(2&gt;=Species!$G91,2&lt;=Species!$H91),"H",""),IF(OR(2&gt;=Species!$G91,2&lt;=Species!$H91),"H",""))&amp;IF(Species!$I91=2,"S","")</f>
        <v/>
      </c>
      <c r="E91" s="153" t="str">
        <f aca="false">IF(Species!$G91&lt;=Species!$H91,IF(AND(3&gt;=Species!$G91,3&lt;=Species!$H91),"H",""),IF(OR(3&gt;=Species!$G91,3&lt;=Species!$H91),"H",""))&amp;IF(Species!$I91=3,"S","")</f>
        <v/>
      </c>
      <c r="F91" s="153" t="str">
        <f aca="false">IF(Species!$G91&lt;=Species!$H91,IF(AND(4&gt;=Species!$G91,4&lt;=Species!$H91),"H",""),IF(OR(4&gt;=Species!$G91,4&lt;=Species!$H91),"H",""))&amp;IF(Species!$I91=4,"S","")</f>
        <v/>
      </c>
      <c r="G91" s="153" t="str">
        <f aca="false">IF(Species!$G91&lt;=Species!$H91,IF(AND(5&gt;=Species!$G91,5&lt;=Species!$H91),"H",""),IF(OR(5&gt;=Species!$G91,5&lt;=Species!$H91),"H",""))&amp;IF(Species!$I91=5,"S","")</f>
        <v/>
      </c>
      <c r="H91" s="153" t="str">
        <f aca="false">IF(Species!$G91&lt;=Species!$H91,IF(AND(6&gt;=Species!$G91,6&lt;=Species!$H91),"H",""),IF(OR(6&gt;=Species!$G91,6&lt;=Species!$H91),"H",""))&amp;IF(Species!$I91=6,"S","")</f>
        <v>H</v>
      </c>
      <c r="I91" s="153" t="str">
        <f aca="false">IF(Species!$G91&lt;=Species!$H91,IF(AND(7&gt;=Species!$G91,7&lt;=Species!$H91),"H",""),IF(OR(7&gt;=Species!$G91,7&lt;=Species!$H91),"H",""))&amp;IF(Species!$I91=7,"S","")</f>
        <v>H</v>
      </c>
      <c r="J91" s="153" t="str">
        <f aca="false">IF(Species!$G91&lt;=Species!$H91,IF(AND(8&gt;=Species!$G91,8&lt;=Species!$H91),"H",""),IF(OR(8&gt;=Species!$G91,8&lt;=Species!$H91),"H",""))&amp;IF(Species!$I91=8,"S","")</f>
        <v/>
      </c>
      <c r="K91" s="153" t="str">
        <f aca="false">IF(Species!$G91&lt;=Species!$H91,IF(AND(9&gt;=Species!$G91,9&lt;=Species!$H91),"H",""),IF(OR(9&gt;=Species!$G91,9&lt;=Species!$H91),"H",""))&amp;IF(Species!$I91=9,"S","")</f>
        <v/>
      </c>
      <c r="L91" s="153" t="str">
        <f aca="false">IF(Species!$G91&lt;=Species!$H91,IF(AND(10&gt;=Species!$G91,10&lt;=Species!$H91),"H",""),IF(OR(10&gt;=Species!$G91,10&lt;=Species!$H91),"H",""))&amp;IF(Species!$I91=10,"S","")</f>
        <v/>
      </c>
      <c r="M91" s="153" t="str">
        <f aca="false">IF(Species!$G91&lt;=Species!$H91,IF(AND(11&gt;=Species!$G91,11&lt;=Species!$H91),"H",""),IF(OR(11&gt;=Species!$G91,11&lt;=Species!$H91),"H",""))&amp;IF(Species!$I91=11,"S","")</f>
        <v/>
      </c>
      <c r="N91" s="153" t="str">
        <f aca="false">IF(Species!$G91&lt;=Species!$H91,IF(AND(12&gt;=Species!$G91,12&lt;=Species!$H91),"H",""),IF(OR(12&gt;=Species!$G91,12&lt;=Species!$H91),"H",""))&amp;IF(Species!$I91=12,"S","")</f>
        <v/>
      </c>
    </row>
    <row r="92" customFormat="false" ht="15" hidden="false" customHeight="false" outlineLevel="0" collapsed="false">
      <c r="A92" s="6" t="str">
        <f aca="false">Species!B92</f>
        <v>Basswood Flower</v>
      </c>
      <c r="B92" s="6" t="str">
        <f aca="false">Species!F92</f>
        <v>Flower</v>
      </c>
      <c r="C92" s="153" t="str">
        <f aca="false">IF(Species!$G92&lt;=Species!$H92,IF(AND(1&gt;=Species!$G92,1&lt;=Species!$H92),"H",""),IF(OR(1&gt;=Species!$G92,1&lt;=Species!$H92),"H",""))&amp;IF(Species!$I92=1,"S","")</f>
        <v/>
      </c>
      <c r="D92" s="153" t="str">
        <f aca="false">IF(Species!$G92&lt;=Species!$H92,IF(AND(2&gt;=Species!$G92,2&lt;=Species!$H92),"H",""),IF(OR(2&gt;=Species!$G92,2&lt;=Species!$H92),"H",""))&amp;IF(Species!$I92=2,"S","")</f>
        <v/>
      </c>
      <c r="E92" s="153" t="str">
        <f aca="false">IF(Species!$G92&lt;=Species!$H92,IF(AND(3&gt;=Species!$G92,3&lt;=Species!$H92),"H",""),IF(OR(3&gt;=Species!$G92,3&lt;=Species!$H92),"H",""))&amp;IF(Species!$I92=3,"S","")</f>
        <v/>
      </c>
      <c r="F92" s="153" t="str">
        <f aca="false">IF(Species!$G92&lt;=Species!$H92,IF(AND(4&gt;=Species!$G92,4&lt;=Species!$H92),"H",""),IF(OR(4&gt;=Species!$G92,4&lt;=Species!$H92),"H",""))&amp;IF(Species!$I92=4,"S","")</f>
        <v/>
      </c>
      <c r="G92" s="153" t="str">
        <f aca="false">IF(Species!$G92&lt;=Species!$H92,IF(AND(5&gt;=Species!$G92,5&lt;=Species!$H92),"H",""),IF(OR(5&gt;=Species!$G92,5&lt;=Species!$H92),"H",""))&amp;IF(Species!$I92=5,"S","")</f>
        <v/>
      </c>
      <c r="H92" s="153" t="str">
        <f aca="false">IF(Species!$G92&lt;=Species!$H92,IF(AND(6&gt;=Species!$G92,6&lt;=Species!$H92),"H",""),IF(OR(6&gt;=Species!$G92,6&lt;=Species!$H92),"H",""))&amp;IF(Species!$I92=6,"S","")</f>
        <v>H</v>
      </c>
      <c r="I92" s="153" t="str">
        <f aca="false">IF(Species!$G92&lt;=Species!$H92,IF(AND(7&gt;=Species!$G92,7&lt;=Species!$H92),"H",""),IF(OR(7&gt;=Species!$G92,7&lt;=Species!$H92),"H",""))&amp;IF(Species!$I92=7,"S","")</f>
        <v>H</v>
      </c>
      <c r="J92" s="153" t="str">
        <f aca="false">IF(Species!$G92&lt;=Species!$H92,IF(AND(8&gt;=Species!$G92,8&lt;=Species!$H92),"H",""),IF(OR(8&gt;=Species!$G92,8&lt;=Species!$H92),"H",""))&amp;IF(Species!$I92=8,"S","")</f>
        <v/>
      </c>
      <c r="K92" s="153" t="str">
        <f aca="false">IF(Species!$G92&lt;=Species!$H92,IF(AND(9&gt;=Species!$G92,9&lt;=Species!$H92),"H",""),IF(OR(9&gt;=Species!$G92,9&lt;=Species!$H92),"H",""))&amp;IF(Species!$I92=9,"S","")</f>
        <v/>
      </c>
      <c r="L92" s="153" t="str">
        <f aca="false">IF(Species!$G92&lt;=Species!$H92,IF(AND(10&gt;=Species!$G92,10&lt;=Species!$H92),"H",""),IF(OR(10&gt;=Species!$G92,10&lt;=Species!$H92),"H",""))&amp;IF(Species!$I92=10,"S","")</f>
        <v/>
      </c>
      <c r="M92" s="153" t="str">
        <f aca="false">IF(Species!$G92&lt;=Species!$H92,IF(AND(11&gt;=Species!$G92,11&lt;=Species!$H92),"H",""),IF(OR(11&gt;=Species!$G92,11&lt;=Species!$H92),"H",""))&amp;IF(Species!$I92=11,"S","")</f>
        <v/>
      </c>
      <c r="N92" s="153" t="str">
        <f aca="false">IF(Species!$G92&lt;=Species!$H92,IF(AND(12&gt;=Species!$G92,12&lt;=Species!$H92),"H",""),IF(OR(12&gt;=Species!$G92,12&lt;=Species!$H92),"H",""))&amp;IF(Species!$I92=12,"S","")</f>
        <v/>
      </c>
    </row>
    <row r="93" customFormat="false" ht="15" hidden="false" customHeight="false" outlineLevel="0" collapsed="false">
      <c r="A93" s="6" t="str">
        <f aca="false">Species!B93</f>
        <v>Catnip</v>
      </c>
      <c r="B93" s="6" t="str">
        <f aca="false">Species!F93</f>
        <v>Leaf</v>
      </c>
      <c r="C93" s="153" t="str">
        <f aca="false">IF(Species!$G93&lt;=Species!$H93,IF(AND(1&gt;=Species!$G93,1&lt;=Species!$H93),"H",""),IF(OR(1&gt;=Species!$G93,1&lt;=Species!$H93),"H",""))&amp;IF(Species!$I93=1,"S","")</f>
        <v/>
      </c>
      <c r="D93" s="153" t="str">
        <f aca="false">IF(Species!$G93&lt;=Species!$H93,IF(AND(2&gt;=Species!$G93,2&lt;=Species!$H93),"H",""),IF(OR(2&gt;=Species!$G93,2&lt;=Species!$H93),"H",""))&amp;IF(Species!$I93=2,"S","")</f>
        <v/>
      </c>
      <c r="E93" s="153" t="str">
        <f aca="false">IF(Species!$G93&lt;=Species!$H93,IF(AND(3&gt;=Species!$G93,3&lt;=Species!$H93),"H",""),IF(OR(3&gt;=Species!$G93,3&lt;=Species!$H93),"H",""))&amp;IF(Species!$I93=3,"S","")</f>
        <v/>
      </c>
      <c r="F93" s="153" t="str">
        <f aca="false">IF(Species!$G93&lt;=Species!$H93,IF(AND(4&gt;=Species!$G93,4&lt;=Species!$H93),"H",""),IF(OR(4&gt;=Species!$G93,4&lt;=Species!$H93),"H",""))&amp;IF(Species!$I93=4,"S","")</f>
        <v/>
      </c>
      <c r="G93" s="153" t="str">
        <f aca="false">IF(Species!$G93&lt;=Species!$H93,IF(AND(5&gt;=Species!$G93,5&lt;=Species!$H93),"H",""),IF(OR(5&gt;=Species!$G93,5&lt;=Species!$H93),"H",""))&amp;IF(Species!$I93=5,"S","")</f>
        <v/>
      </c>
      <c r="H93" s="153" t="str">
        <f aca="false">IF(Species!$G93&lt;=Species!$H93,IF(AND(6&gt;=Species!$G93,6&lt;=Species!$H93),"H",""),IF(OR(6&gt;=Species!$G93,6&lt;=Species!$H93),"H",""))&amp;IF(Species!$I93=6,"S","")</f>
        <v>H</v>
      </c>
      <c r="I93" s="153" t="str">
        <f aca="false">IF(Species!$G93&lt;=Species!$H93,IF(AND(7&gt;=Species!$G93,7&lt;=Species!$H93),"H",""),IF(OR(7&gt;=Species!$G93,7&lt;=Species!$H93),"H",""))&amp;IF(Species!$I93=7,"S","")</f>
        <v>H</v>
      </c>
      <c r="J93" s="153" t="str">
        <f aca="false">IF(Species!$G93&lt;=Species!$H93,IF(AND(8&gt;=Species!$G93,8&lt;=Species!$H93),"H",""),IF(OR(8&gt;=Species!$G93,8&lt;=Species!$H93),"H",""))&amp;IF(Species!$I93=8,"S","")</f>
        <v>H</v>
      </c>
      <c r="K93" s="153" t="str">
        <f aca="false">IF(Species!$G93&lt;=Species!$H93,IF(AND(9&gt;=Species!$G93,9&lt;=Species!$H93),"H",""),IF(OR(9&gt;=Species!$G93,9&lt;=Species!$H93),"H",""))&amp;IF(Species!$I93=9,"S","")</f>
        <v>HS</v>
      </c>
      <c r="L93" s="153" t="str">
        <f aca="false">IF(Species!$G93&lt;=Species!$H93,IF(AND(10&gt;=Species!$G93,10&lt;=Species!$H93),"H",""),IF(OR(10&gt;=Species!$G93,10&lt;=Species!$H93),"H",""))&amp;IF(Species!$I93=10,"S","")</f>
        <v/>
      </c>
      <c r="M93" s="153" t="str">
        <f aca="false">IF(Species!$G93&lt;=Species!$H93,IF(AND(11&gt;=Species!$G93,11&lt;=Species!$H93),"H",""),IF(OR(11&gt;=Species!$G93,11&lt;=Species!$H93),"H",""))&amp;IF(Species!$I93=11,"S","")</f>
        <v/>
      </c>
      <c r="N93" s="153" t="str">
        <f aca="false">IF(Species!$G93&lt;=Species!$H93,IF(AND(12&gt;=Species!$G93,12&lt;=Species!$H93),"H",""),IF(OR(12&gt;=Species!$G93,12&lt;=Species!$H93),"H",""))&amp;IF(Species!$I93=12,"S","")</f>
        <v/>
      </c>
    </row>
    <row r="94" customFormat="false" ht="15" hidden="false" customHeight="false" outlineLevel="0" collapsed="false">
      <c r="A94" s="6" t="str">
        <f aca="false">Species!B94</f>
        <v>Motherwort</v>
      </c>
      <c r="B94" s="6" t="str">
        <f aca="false">Species!F94</f>
        <v>Leaf</v>
      </c>
      <c r="C94" s="153" t="str">
        <f aca="false">IF(Species!$G94&lt;=Species!$H94,IF(AND(1&gt;=Species!$G94,1&lt;=Species!$H94),"H",""),IF(OR(1&gt;=Species!$G94,1&lt;=Species!$H94),"H",""))&amp;IF(Species!$I94=1,"S","")</f>
        <v/>
      </c>
      <c r="D94" s="153" t="str">
        <f aca="false">IF(Species!$G94&lt;=Species!$H94,IF(AND(2&gt;=Species!$G94,2&lt;=Species!$H94),"H",""),IF(OR(2&gt;=Species!$G94,2&lt;=Species!$H94),"H",""))&amp;IF(Species!$I94=2,"S","")</f>
        <v/>
      </c>
      <c r="E94" s="153" t="str">
        <f aca="false">IF(Species!$G94&lt;=Species!$H94,IF(AND(3&gt;=Species!$G94,3&lt;=Species!$H94),"H",""),IF(OR(3&gt;=Species!$G94,3&lt;=Species!$H94),"H",""))&amp;IF(Species!$I94=3,"S","")</f>
        <v/>
      </c>
      <c r="F94" s="153" t="str">
        <f aca="false">IF(Species!$G94&lt;=Species!$H94,IF(AND(4&gt;=Species!$G94,4&lt;=Species!$H94),"H",""),IF(OR(4&gt;=Species!$G94,4&lt;=Species!$H94),"H",""))&amp;IF(Species!$I94=4,"S","")</f>
        <v/>
      </c>
      <c r="G94" s="153" t="str">
        <f aca="false">IF(Species!$G94&lt;=Species!$H94,IF(AND(5&gt;=Species!$G94,5&lt;=Species!$H94),"H",""),IF(OR(5&gt;=Species!$G94,5&lt;=Species!$H94),"H",""))&amp;IF(Species!$I94=5,"S","")</f>
        <v/>
      </c>
      <c r="H94" s="153" t="str">
        <f aca="false">IF(Species!$G94&lt;=Species!$H94,IF(AND(6&gt;=Species!$G94,6&lt;=Species!$H94),"H",""),IF(OR(6&gt;=Species!$G94,6&lt;=Species!$H94),"H",""))&amp;IF(Species!$I94=6,"S","")</f>
        <v>H</v>
      </c>
      <c r="I94" s="153" t="str">
        <f aca="false">IF(Species!$G94&lt;=Species!$H94,IF(AND(7&gt;=Species!$G94,7&lt;=Species!$H94),"H",""),IF(OR(7&gt;=Species!$G94,7&lt;=Species!$H94),"H",""))&amp;IF(Species!$I94=7,"S","")</f>
        <v>H</v>
      </c>
      <c r="J94" s="153" t="str">
        <f aca="false">IF(Species!$G94&lt;=Species!$H94,IF(AND(8&gt;=Species!$G94,8&lt;=Species!$H94),"H",""),IF(OR(8&gt;=Species!$G94,8&lt;=Species!$H94),"H",""))&amp;IF(Species!$I94=8,"S","")</f>
        <v>H</v>
      </c>
      <c r="K94" s="153" t="str">
        <f aca="false">IF(Species!$G94&lt;=Species!$H94,IF(AND(9&gt;=Species!$G94,9&lt;=Species!$H94),"H",""),IF(OR(9&gt;=Species!$G94,9&lt;=Species!$H94),"H",""))&amp;IF(Species!$I94=9,"S","")</f>
        <v>S</v>
      </c>
      <c r="L94" s="153" t="str">
        <f aca="false">IF(Species!$G94&lt;=Species!$H94,IF(AND(10&gt;=Species!$G94,10&lt;=Species!$H94),"H",""),IF(OR(10&gt;=Species!$G94,10&lt;=Species!$H94),"H",""))&amp;IF(Species!$I94=10,"S","")</f>
        <v/>
      </c>
      <c r="M94" s="153" t="str">
        <f aca="false">IF(Species!$G94&lt;=Species!$H94,IF(AND(11&gt;=Species!$G94,11&lt;=Species!$H94),"H",""),IF(OR(11&gt;=Species!$G94,11&lt;=Species!$H94),"H",""))&amp;IF(Species!$I94=11,"S","")</f>
        <v/>
      </c>
      <c r="N94" s="153" t="str">
        <f aca="false">IF(Species!$G94&lt;=Species!$H94,IF(AND(12&gt;=Species!$G94,12&lt;=Species!$H94),"H",""),IF(OR(12&gt;=Species!$G94,12&lt;=Species!$H94),"H",""))&amp;IF(Species!$I94=12,"S","")</f>
        <v/>
      </c>
    </row>
    <row r="95" customFormat="false" ht="15" hidden="false" customHeight="false" outlineLevel="0" collapsed="false">
      <c r="A95" s="6" t="str">
        <f aca="false">Species!B95</f>
        <v>Self-heal</v>
      </c>
      <c r="B95" s="6" t="str">
        <f aca="false">Species!F95</f>
        <v>Flower</v>
      </c>
      <c r="C95" s="153" t="str">
        <f aca="false">IF(Species!$G95&lt;=Species!$H95,IF(AND(1&gt;=Species!$G95,1&lt;=Species!$H95),"H",""),IF(OR(1&gt;=Species!$G95,1&lt;=Species!$H95),"H",""))&amp;IF(Species!$I95=1,"S","")</f>
        <v/>
      </c>
      <c r="D95" s="153" t="str">
        <f aca="false">IF(Species!$G95&lt;=Species!$H95,IF(AND(2&gt;=Species!$G95,2&lt;=Species!$H95),"H",""),IF(OR(2&gt;=Species!$G95,2&lt;=Species!$H95),"H",""))&amp;IF(Species!$I95=2,"S","")</f>
        <v/>
      </c>
      <c r="E95" s="153" t="str">
        <f aca="false">IF(Species!$G95&lt;=Species!$H95,IF(AND(3&gt;=Species!$G95,3&lt;=Species!$H95),"H",""),IF(OR(3&gt;=Species!$G95,3&lt;=Species!$H95),"H",""))&amp;IF(Species!$I95=3,"S","")</f>
        <v/>
      </c>
      <c r="F95" s="153" t="str">
        <f aca="false">IF(Species!$G95&lt;=Species!$H95,IF(AND(4&gt;=Species!$G95,4&lt;=Species!$H95),"H",""),IF(OR(4&gt;=Species!$G95,4&lt;=Species!$H95),"H",""))&amp;IF(Species!$I95=4,"S","")</f>
        <v/>
      </c>
      <c r="G95" s="153" t="str">
        <f aca="false">IF(Species!$G95&lt;=Species!$H95,IF(AND(5&gt;=Species!$G95,5&lt;=Species!$H95),"H",""),IF(OR(5&gt;=Species!$G95,5&lt;=Species!$H95),"H",""))&amp;IF(Species!$I95=5,"S","")</f>
        <v/>
      </c>
      <c r="H95" s="153" t="str">
        <f aca="false">IF(Species!$G95&lt;=Species!$H95,IF(AND(6&gt;=Species!$G95,6&lt;=Species!$H95),"H",""),IF(OR(6&gt;=Species!$G95,6&lt;=Species!$H95),"H",""))&amp;IF(Species!$I95=6,"S","")</f>
        <v>H</v>
      </c>
      <c r="I95" s="153" t="str">
        <f aca="false">IF(Species!$G95&lt;=Species!$H95,IF(AND(7&gt;=Species!$G95,7&lt;=Species!$H95),"H",""),IF(OR(7&gt;=Species!$G95,7&lt;=Species!$H95),"H",""))&amp;IF(Species!$I95=7,"S","")</f>
        <v>H</v>
      </c>
      <c r="J95" s="153" t="str">
        <f aca="false">IF(Species!$G95&lt;=Species!$H95,IF(AND(8&gt;=Species!$G95,8&lt;=Species!$H95),"H",""),IF(OR(8&gt;=Species!$G95,8&lt;=Species!$H95),"H",""))&amp;IF(Species!$I95=8,"S","")</f>
        <v>H</v>
      </c>
      <c r="K95" s="153" t="str">
        <f aca="false">IF(Species!$G95&lt;=Species!$H95,IF(AND(9&gt;=Species!$G95,9&lt;=Species!$H95),"H",""),IF(OR(9&gt;=Species!$G95,9&lt;=Species!$H95),"H",""))&amp;IF(Species!$I95=9,"S","")</f>
        <v>HS</v>
      </c>
      <c r="L95" s="153" t="str">
        <f aca="false">IF(Species!$G95&lt;=Species!$H95,IF(AND(10&gt;=Species!$G95,10&lt;=Species!$H95),"H",""),IF(OR(10&gt;=Species!$G95,10&lt;=Species!$H95),"H",""))&amp;IF(Species!$I95=10,"S","")</f>
        <v/>
      </c>
      <c r="M95" s="153" t="str">
        <f aca="false">IF(Species!$G95&lt;=Species!$H95,IF(AND(11&gt;=Species!$G95,11&lt;=Species!$H95),"H",""),IF(OR(11&gt;=Species!$G95,11&lt;=Species!$H95),"H",""))&amp;IF(Species!$I95=11,"S","")</f>
        <v/>
      </c>
      <c r="N95" s="153" t="str">
        <f aca="false">IF(Species!$G95&lt;=Species!$H95,IF(AND(12&gt;=Species!$G95,12&lt;=Species!$H95),"H",""),IF(OR(12&gt;=Species!$G95,12&lt;=Species!$H95),"H",""))&amp;IF(Species!$I95=12,"S","")</f>
        <v/>
      </c>
    </row>
    <row r="96" customFormat="false" ht="15" hidden="false" customHeight="false" outlineLevel="0" collapsed="false">
      <c r="A96" s="6" t="str">
        <f aca="false">Species!B96</f>
        <v>Mad-dog Skullcap</v>
      </c>
      <c r="B96" s="6" t="str">
        <f aca="false">Species!F96</f>
        <v>Leaf</v>
      </c>
      <c r="C96" s="153" t="str">
        <f aca="false">IF(Species!$G96&lt;=Species!$H96,IF(AND(1&gt;=Species!$G96,1&lt;=Species!$H96),"H",""),IF(OR(1&gt;=Species!$G96,1&lt;=Species!$H96),"H",""))&amp;IF(Species!$I96=1,"S","")</f>
        <v/>
      </c>
      <c r="D96" s="153" t="str">
        <f aca="false">IF(Species!$G96&lt;=Species!$H96,IF(AND(2&gt;=Species!$G96,2&lt;=Species!$H96),"H",""),IF(OR(2&gt;=Species!$G96,2&lt;=Species!$H96),"H",""))&amp;IF(Species!$I96=2,"S","")</f>
        <v/>
      </c>
      <c r="E96" s="153" t="str">
        <f aca="false">IF(Species!$G96&lt;=Species!$H96,IF(AND(3&gt;=Species!$G96,3&lt;=Species!$H96),"H",""),IF(OR(3&gt;=Species!$G96,3&lt;=Species!$H96),"H",""))&amp;IF(Species!$I96=3,"S","")</f>
        <v/>
      </c>
      <c r="F96" s="153" t="str">
        <f aca="false">IF(Species!$G96&lt;=Species!$H96,IF(AND(4&gt;=Species!$G96,4&lt;=Species!$H96),"H",""),IF(OR(4&gt;=Species!$G96,4&lt;=Species!$H96),"H",""))&amp;IF(Species!$I96=4,"S","")</f>
        <v/>
      </c>
      <c r="G96" s="153" t="str">
        <f aca="false">IF(Species!$G96&lt;=Species!$H96,IF(AND(5&gt;=Species!$G96,5&lt;=Species!$H96),"H",""),IF(OR(5&gt;=Species!$G96,5&lt;=Species!$H96),"H",""))&amp;IF(Species!$I96=5,"S","")</f>
        <v/>
      </c>
      <c r="H96" s="153" t="str">
        <f aca="false">IF(Species!$G96&lt;=Species!$H96,IF(AND(6&gt;=Species!$G96,6&lt;=Species!$H96),"H",""),IF(OR(6&gt;=Species!$G96,6&lt;=Species!$H96),"H",""))&amp;IF(Species!$I96=6,"S","")</f>
        <v/>
      </c>
      <c r="I96" s="153" t="str">
        <f aca="false">IF(Species!$G96&lt;=Species!$H96,IF(AND(7&gt;=Species!$G96,7&lt;=Species!$H96),"H",""),IF(OR(7&gt;=Species!$G96,7&lt;=Species!$H96),"H",""))&amp;IF(Species!$I96=7,"S","")</f>
        <v>H</v>
      </c>
      <c r="J96" s="153" t="str">
        <f aca="false">IF(Species!$G96&lt;=Species!$H96,IF(AND(8&gt;=Species!$G96,8&lt;=Species!$H96),"H",""),IF(OR(8&gt;=Species!$G96,8&lt;=Species!$H96),"H",""))&amp;IF(Species!$I96=8,"S","")</f>
        <v>H</v>
      </c>
      <c r="K96" s="153" t="str">
        <f aca="false">IF(Species!$G96&lt;=Species!$H96,IF(AND(9&gt;=Species!$G96,9&lt;=Species!$H96),"H",""),IF(OR(9&gt;=Species!$G96,9&lt;=Species!$H96),"H",""))&amp;IF(Species!$I96=9,"S","")</f>
        <v>HS</v>
      </c>
      <c r="L96" s="153" t="str">
        <f aca="false">IF(Species!$G96&lt;=Species!$H96,IF(AND(10&gt;=Species!$G96,10&lt;=Species!$H96),"H",""),IF(OR(10&gt;=Species!$G96,10&lt;=Species!$H96),"H",""))&amp;IF(Species!$I96=10,"S","")</f>
        <v/>
      </c>
      <c r="M96" s="153" t="str">
        <f aca="false">IF(Species!$G96&lt;=Species!$H96,IF(AND(11&gt;=Species!$G96,11&lt;=Species!$H96),"H",""),IF(OR(11&gt;=Species!$G96,11&lt;=Species!$H96),"H",""))&amp;IF(Species!$I96=11,"S","")</f>
        <v/>
      </c>
      <c r="N96" s="153" t="str">
        <f aca="false">IF(Species!$G96&lt;=Species!$H96,IF(AND(12&gt;=Species!$G96,12&lt;=Species!$H96),"H",""),IF(OR(12&gt;=Species!$G96,12&lt;=Species!$H96),"H",""))&amp;IF(Species!$I96=12,"S","")</f>
        <v/>
      </c>
    </row>
    <row r="97" customFormat="false" ht="15" hidden="false" customHeight="false" outlineLevel="0" collapsed="false">
      <c r="A97" s="6" t="str">
        <f aca="false">Species!B97</f>
        <v>Blue Vervain</v>
      </c>
      <c r="B97" s="6" t="str">
        <f aca="false">Species!F97</f>
        <v>Leaf</v>
      </c>
      <c r="C97" s="153" t="str">
        <f aca="false">IF(Species!$G97&lt;=Species!$H97,IF(AND(1&gt;=Species!$G97,1&lt;=Species!$H97),"H",""),IF(OR(1&gt;=Species!$G97,1&lt;=Species!$H97),"H",""))&amp;IF(Species!$I97=1,"S","")</f>
        <v/>
      </c>
      <c r="D97" s="153" t="str">
        <f aca="false">IF(Species!$G97&lt;=Species!$H97,IF(AND(2&gt;=Species!$G97,2&lt;=Species!$H97),"H",""),IF(OR(2&gt;=Species!$G97,2&lt;=Species!$H97),"H",""))&amp;IF(Species!$I97=2,"S","")</f>
        <v/>
      </c>
      <c r="E97" s="153" t="str">
        <f aca="false">IF(Species!$G97&lt;=Species!$H97,IF(AND(3&gt;=Species!$G97,3&lt;=Species!$H97),"H",""),IF(OR(3&gt;=Species!$G97,3&lt;=Species!$H97),"H",""))&amp;IF(Species!$I97=3,"S","")</f>
        <v/>
      </c>
      <c r="F97" s="153" t="str">
        <f aca="false">IF(Species!$G97&lt;=Species!$H97,IF(AND(4&gt;=Species!$G97,4&lt;=Species!$H97),"H",""),IF(OR(4&gt;=Species!$G97,4&lt;=Species!$H97),"H",""))&amp;IF(Species!$I97=4,"S","")</f>
        <v/>
      </c>
      <c r="G97" s="153" t="str">
        <f aca="false">IF(Species!$G97&lt;=Species!$H97,IF(AND(5&gt;=Species!$G97,5&lt;=Species!$H97),"H",""),IF(OR(5&gt;=Species!$G97,5&lt;=Species!$H97),"H",""))&amp;IF(Species!$I97=5,"S","")</f>
        <v/>
      </c>
      <c r="H97" s="153" t="str">
        <f aca="false">IF(Species!$G97&lt;=Species!$H97,IF(AND(6&gt;=Species!$G97,6&lt;=Species!$H97),"H",""),IF(OR(6&gt;=Species!$G97,6&lt;=Species!$H97),"H",""))&amp;IF(Species!$I97=6,"S","")</f>
        <v/>
      </c>
      <c r="I97" s="153" t="str">
        <f aca="false">IF(Species!$G97&lt;=Species!$H97,IF(AND(7&gt;=Species!$G97,7&lt;=Species!$H97),"H",""),IF(OR(7&gt;=Species!$G97,7&lt;=Species!$H97),"H",""))&amp;IF(Species!$I97=7,"S","")</f>
        <v>H</v>
      </c>
      <c r="J97" s="153" t="str">
        <f aca="false">IF(Species!$G97&lt;=Species!$H97,IF(AND(8&gt;=Species!$G97,8&lt;=Species!$H97),"H",""),IF(OR(8&gt;=Species!$G97,8&lt;=Species!$H97),"H",""))&amp;IF(Species!$I97=8,"S","")</f>
        <v>H</v>
      </c>
      <c r="K97" s="153" t="str">
        <f aca="false">IF(Species!$G97&lt;=Species!$H97,IF(AND(9&gt;=Species!$G97,9&lt;=Species!$H97),"H",""),IF(OR(9&gt;=Species!$G97,9&lt;=Species!$H97),"H",""))&amp;IF(Species!$I97=9,"S","")</f>
        <v>HS</v>
      </c>
      <c r="L97" s="153" t="str">
        <f aca="false">IF(Species!$G97&lt;=Species!$H97,IF(AND(10&gt;=Species!$G97,10&lt;=Species!$H97),"H",""),IF(OR(10&gt;=Species!$G97,10&lt;=Species!$H97),"H",""))&amp;IF(Species!$I97=10,"S","")</f>
        <v/>
      </c>
      <c r="M97" s="153" t="str">
        <f aca="false">IF(Species!$G97&lt;=Species!$H97,IF(AND(11&gt;=Species!$G97,11&lt;=Species!$H97),"H",""),IF(OR(11&gt;=Species!$G97,11&lt;=Species!$H97),"H",""))&amp;IF(Species!$I97=11,"S","")</f>
        <v/>
      </c>
      <c r="N97" s="153" t="str">
        <f aca="false">IF(Species!$G97&lt;=Species!$H97,IF(AND(12&gt;=Species!$G97,12&lt;=Species!$H97),"H",""),IF(OR(12&gt;=Species!$G97,12&lt;=Species!$H97),"H",""))&amp;IF(Species!$I97=12,"S","")</f>
        <v/>
      </c>
    </row>
    <row r="98" customFormat="false" ht="15" hidden="false" customHeight="false" outlineLevel="0" collapsed="false">
      <c r="A98" s="6" t="str">
        <f aca="false">Species!B98</f>
        <v>Boneset</v>
      </c>
      <c r="B98" s="6" t="str">
        <f aca="false">Species!F98</f>
        <v>Leaf</v>
      </c>
      <c r="C98" s="153" t="str">
        <f aca="false">IF(Species!$G98&lt;=Species!$H98,IF(AND(1&gt;=Species!$G98,1&lt;=Species!$H98),"H",""),IF(OR(1&gt;=Species!$G98,1&lt;=Species!$H98),"H",""))&amp;IF(Species!$I98=1,"S","")</f>
        <v/>
      </c>
      <c r="D98" s="153" t="str">
        <f aca="false">IF(Species!$G98&lt;=Species!$H98,IF(AND(2&gt;=Species!$G98,2&lt;=Species!$H98),"H",""),IF(OR(2&gt;=Species!$G98,2&lt;=Species!$H98),"H",""))&amp;IF(Species!$I98=2,"S","")</f>
        <v/>
      </c>
      <c r="E98" s="153" t="str">
        <f aca="false">IF(Species!$G98&lt;=Species!$H98,IF(AND(3&gt;=Species!$G98,3&lt;=Species!$H98),"H",""),IF(OR(3&gt;=Species!$G98,3&lt;=Species!$H98),"H",""))&amp;IF(Species!$I98=3,"S","")</f>
        <v/>
      </c>
      <c r="F98" s="153" t="str">
        <f aca="false">IF(Species!$G98&lt;=Species!$H98,IF(AND(4&gt;=Species!$G98,4&lt;=Species!$H98),"H",""),IF(OR(4&gt;=Species!$G98,4&lt;=Species!$H98),"H",""))&amp;IF(Species!$I98=4,"S","")</f>
        <v/>
      </c>
      <c r="G98" s="153" t="str">
        <f aca="false">IF(Species!$G98&lt;=Species!$H98,IF(AND(5&gt;=Species!$G98,5&lt;=Species!$H98),"H",""),IF(OR(5&gt;=Species!$G98,5&lt;=Species!$H98),"H",""))&amp;IF(Species!$I98=5,"S","")</f>
        <v/>
      </c>
      <c r="H98" s="153" t="str">
        <f aca="false">IF(Species!$G98&lt;=Species!$H98,IF(AND(6&gt;=Species!$G98,6&lt;=Species!$H98),"H",""),IF(OR(6&gt;=Species!$G98,6&lt;=Species!$H98),"H",""))&amp;IF(Species!$I98=6,"S","")</f>
        <v/>
      </c>
      <c r="I98" s="153" t="str">
        <f aca="false">IF(Species!$G98&lt;=Species!$H98,IF(AND(7&gt;=Species!$G98,7&lt;=Species!$H98),"H",""),IF(OR(7&gt;=Species!$G98,7&lt;=Species!$H98),"H",""))&amp;IF(Species!$I98=7,"S","")</f>
        <v>H</v>
      </c>
      <c r="J98" s="153" t="str">
        <f aca="false">IF(Species!$G98&lt;=Species!$H98,IF(AND(8&gt;=Species!$G98,8&lt;=Species!$H98),"H",""),IF(OR(8&gt;=Species!$G98,8&lt;=Species!$H98),"H",""))&amp;IF(Species!$I98=8,"S","")</f>
        <v>H</v>
      </c>
      <c r="K98" s="153" t="str">
        <f aca="false">IF(Species!$G98&lt;=Species!$H98,IF(AND(9&gt;=Species!$G98,9&lt;=Species!$H98),"H",""),IF(OR(9&gt;=Species!$G98,9&lt;=Species!$H98),"H",""))&amp;IF(Species!$I98=9,"S","")</f>
        <v>HS</v>
      </c>
      <c r="L98" s="153" t="str">
        <f aca="false">IF(Species!$G98&lt;=Species!$H98,IF(AND(10&gt;=Species!$G98,10&lt;=Species!$H98),"H",""),IF(OR(10&gt;=Species!$G98,10&lt;=Species!$H98),"H",""))&amp;IF(Species!$I98=10,"S","")</f>
        <v/>
      </c>
      <c r="M98" s="153" t="str">
        <f aca="false">IF(Species!$G98&lt;=Species!$H98,IF(AND(11&gt;=Species!$G98,11&lt;=Species!$H98),"H",""),IF(OR(11&gt;=Species!$G98,11&lt;=Species!$H98),"H",""))&amp;IF(Species!$I98=11,"S","")</f>
        <v/>
      </c>
      <c r="N98" s="153" t="str">
        <f aca="false">IF(Species!$G98&lt;=Species!$H98,IF(AND(12&gt;=Species!$G98,12&lt;=Species!$H98),"H",""),IF(OR(12&gt;=Species!$G98,12&lt;=Species!$H98),"H",""))&amp;IF(Species!$I98=12,"S","")</f>
        <v/>
      </c>
    </row>
    <row r="99" customFormat="false" ht="15" hidden="false" customHeight="false" outlineLevel="0" collapsed="false">
      <c r="A99" s="6" t="str">
        <f aca="false">Species!B99</f>
        <v>Joe-Pye Weed</v>
      </c>
      <c r="B99" s="6" t="str">
        <f aca="false">Species!F99</f>
        <v>Root</v>
      </c>
      <c r="C99" s="153" t="str">
        <f aca="false">IF(Species!$G99&lt;=Species!$H99,IF(AND(1&gt;=Species!$G99,1&lt;=Species!$H99),"H",""),IF(OR(1&gt;=Species!$G99,1&lt;=Species!$H99),"H",""))&amp;IF(Species!$I99=1,"S","")</f>
        <v/>
      </c>
      <c r="D99" s="153" t="str">
        <f aca="false">IF(Species!$G99&lt;=Species!$H99,IF(AND(2&gt;=Species!$G99,2&lt;=Species!$H99),"H",""),IF(OR(2&gt;=Species!$G99,2&lt;=Species!$H99),"H",""))&amp;IF(Species!$I99=2,"S","")</f>
        <v/>
      </c>
      <c r="E99" s="153" t="str">
        <f aca="false">IF(Species!$G99&lt;=Species!$H99,IF(AND(3&gt;=Species!$G99,3&lt;=Species!$H99),"H",""),IF(OR(3&gt;=Species!$G99,3&lt;=Species!$H99),"H",""))&amp;IF(Species!$I99=3,"S","")</f>
        <v/>
      </c>
      <c r="F99" s="153" t="str">
        <f aca="false">IF(Species!$G99&lt;=Species!$H99,IF(AND(4&gt;=Species!$G99,4&lt;=Species!$H99),"H",""),IF(OR(4&gt;=Species!$G99,4&lt;=Species!$H99),"H",""))&amp;IF(Species!$I99=4,"S","")</f>
        <v/>
      </c>
      <c r="G99" s="153" t="str">
        <f aca="false">IF(Species!$G99&lt;=Species!$H99,IF(AND(5&gt;=Species!$G99,5&lt;=Species!$H99),"H",""),IF(OR(5&gt;=Species!$G99,5&lt;=Species!$H99),"H",""))&amp;IF(Species!$I99=5,"S","")</f>
        <v/>
      </c>
      <c r="H99" s="153" t="str">
        <f aca="false">IF(Species!$G99&lt;=Species!$H99,IF(AND(6&gt;=Species!$G99,6&lt;=Species!$H99),"H",""),IF(OR(6&gt;=Species!$G99,6&lt;=Species!$H99),"H",""))&amp;IF(Species!$I99=6,"S","")</f>
        <v/>
      </c>
      <c r="I99" s="153" t="str">
        <f aca="false">IF(Species!$G99&lt;=Species!$H99,IF(AND(7&gt;=Species!$G99,7&lt;=Species!$H99),"H",""),IF(OR(7&gt;=Species!$G99,7&lt;=Species!$H99),"H",""))&amp;IF(Species!$I99=7,"S","")</f>
        <v/>
      </c>
      <c r="J99" s="153" t="str">
        <f aca="false">IF(Species!$G99&lt;=Species!$H99,IF(AND(8&gt;=Species!$G99,8&lt;=Species!$H99),"H",""),IF(OR(8&gt;=Species!$G99,8&lt;=Species!$H99),"H",""))&amp;IF(Species!$I99=8,"S","")</f>
        <v/>
      </c>
      <c r="K99" s="153" t="str">
        <f aca="false">IF(Species!$G99&lt;=Species!$H99,IF(AND(9&gt;=Species!$G99,9&lt;=Species!$H99),"H",""),IF(OR(9&gt;=Species!$G99,9&lt;=Species!$H99),"H",""))&amp;IF(Species!$I99=9,"S","")</f>
        <v>HS</v>
      </c>
      <c r="L99" s="153" t="str">
        <f aca="false">IF(Species!$G99&lt;=Species!$H99,IF(AND(10&gt;=Species!$G99,10&lt;=Species!$H99),"H",""),IF(OR(10&gt;=Species!$G99,10&lt;=Species!$H99),"H",""))&amp;IF(Species!$I99=10,"S","")</f>
        <v>H</v>
      </c>
      <c r="M99" s="153" t="str">
        <f aca="false">IF(Species!$G99&lt;=Species!$H99,IF(AND(11&gt;=Species!$G99,11&lt;=Species!$H99),"H",""),IF(OR(11&gt;=Species!$G99,11&lt;=Species!$H99),"H",""))&amp;IF(Species!$I99=11,"S","")</f>
        <v/>
      </c>
      <c r="N99" s="153" t="str">
        <f aca="false">IF(Species!$G99&lt;=Species!$H99,IF(AND(12&gt;=Species!$G99,12&lt;=Species!$H99),"H",""),IF(OR(12&gt;=Species!$G99,12&lt;=Species!$H99),"H",""))&amp;IF(Species!$I99=12,"S","")</f>
        <v/>
      </c>
    </row>
    <row r="100" customFormat="false" ht="15" hidden="false" customHeight="false" outlineLevel="0" collapsed="false">
      <c r="A100" s="6" t="str">
        <f aca="false">Species!B100</f>
        <v>Swamp Milkweed</v>
      </c>
      <c r="B100" s="6" t="str">
        <f aca="false">Species!F100</f>
        <v>Seed</v>
      </c>
      <c r="C100" s="153" t="str">
        <f aca="false">IF(Species!$G100&lt;=Species!$H100,IF(AND(1&gt;=Species!$G100,1&lt;=Species!$H100),"H",""),IF(OR(1&gt;=Species!$G100,1&lt;=Species!$H100),"H",""))&amp;IF(Species!$I100=1,"S","")</f>
        <v/>
      </c>
      <c r="D100" s="153" t="str">
        <f aca="false">IF(Species!$G100&lt;=Species!$H100,IF(AND(2&gt;=Species!$G100,2&lt;=Species!$H100),"H",""),IF(OR(2&gt;=Species!$G100,2&lt;=Species!$H100),"H",""))&amp;IF(Species!$I100=2,"S","")</f>
        <v/>
      </c>
      <c r="E100" s="153" t="str">
        <f aca="false">IF(Species!$G100&lt;=Species!$H100,IF(AND(3&gt;=Species!$G100,3&lt;=Species!$H100),"H",""),IF(OR(3&gt;=Species!$G100,3&lt;=Species!$H100),"H",""))&amp;IF(Species!$I100=3,"S","")</f>
        <v/>
      </c>
      <c r="F100" s="153" t="str">
        <f aca="false">IF(Species!$G100&lt;=Species!$H100,IF(AND(4&gt;=Species!$G100,4&lt;=Species!$H100),"H",""),IF(OR(4&gt;=Species!$G100,4&lt;=Species!$H100),"H",""))&amp;IF(Species!$I100=4,"S","")</f>
        <v/>
      </c>
      <c r="G100" s="153" t="str">
        <f aca="false">IF(Species!$G100&lt;=Species!$H100,IF(AND(5&gt;=Species!$G100,5&lt;=Species!$H100),"H",""),IF(OR(5&gt;=Species!$G100,5&lt;=Species!$H100),"H",""))&amp;IF(Species!$I100=5,"S","")</f>
        <v/>
      </c>
      <c r="H100" s="153" t="str">
        <f aca="false">IF(Species!$G100&lt;=Species!$H100,IF(AND(6&gt;=Species!$G100,6&lt;=Species!$H100),"H",""),IF(OR(6&gt;=Species!$G100,6&lt;=Species!$H100),"H",""))&amp;IF(Species!$I100=6,"S","")</f>
        <v/>
      </c>
      <c r="I100" s="153" t="str">
        <f aca="false">IF(Species!$G100&lt;=Species!$H100,IF(AND(7&gt;=Species!$G100,7&lt;=Species!$H100),"H",""),IF(OR(7&gt;=Species!$G100,7&lt;=Species!$H100),"H",""))&amp;IF(Species!$I100=7,"S","")</f>
        <v/>
      </c>
      <c r="J100" s="153" t="str">
        <f aca="false">IF(Species!$G100&lt;=Species!$H100,IF(AND(8&gt;=Species!$G100,8&lt;=Species!$H100),"H",""),IF(OR(8&gt;=Species!$G100,8&lt;=Species!$H100),"H",""))&amp;IF(Species!$I100=8,"S","")</f>
        <v/>
      </c>
      <c r="K100" s="153" t="str">
        <f aca="false">IF(Species!$G100&lt;=Species!$H100,IF(AND(9&gt;=Species!$G100,9&lt;=Species!$H100),"H",""),IF(OR(9&gt;=Species!$G100,9&lt;=Species!$H100),"H",""))&amp;IF(Species!$I100=9,"S","")</f>
        <v>H</v>
      </c>
      <c r="L100" s="153" t="str">
        <f aca="false">IF(Species!$G100&lt;=Species!$H100,IF(AND(10&gt;=Species!$G100,10&lt;=Species!$H100),"H",""),IF(OR(10&gt;=Species!$G100,10&lt;=Species!$H100),"H",""))&amp;IF(Species!$I100=10,"S","")</f>
        <v>H</v>
      </c>
      <c r="M100" s="153" t="str">
        <f aca="false">IF(Species!$G100&lt;=Species!$H100,IF(AND(11&gt;=Species!$G100,11&lt;=Species!$H100),"H",""),IF(OR(11&gt;=Species!$G100,11&lt;=Species!$H100),"H",""))&amp;IF(Species!$I100=11,"S","")</f>
        <v/>
      </c>
      <c r="N100" s="153" t="str">
        <f aca="false">IF(Species!$G100&lt;=Species!$H100,IF(AND(12&gt;=Species!$G100,12&lt;=Species!$H100),"H",""),IF(OR(12&gt;=Species!$G100,12&lt;=Species!$H100),"H",""))&amp;IF(Species!$I100=12,"S","")</f>
        <v/>
      </c>
    </row>
    <row r="101" customFormat="false" ht="15" hidden="false" customHeight="false" outlineLevel="0" collapsed="false">
      <c r="A101" s="6" t="str">
        <f aca="false">Species!B101</f>
        <v>Blue Flag Iris</v>
      </c>
      <c r="B101" s="6" t="str">
        <f aca="false">Species!F101</f>
        <v>Rhizome</v>
      </c>
      <c r="C101" s="153" t="str">
        <f aca="false">IF(Species!$G101&lt;=Species!$H101,IF(AND(1&gt;=Species!$G101,1&lt;=Species!$H101),"H",""),IF(OR(1&gt;=Species!$G101,1&lt;=Species!$H101),"H",""))&amp;IF(Species!$I101=1,"S","")</f>
        <v/>
      </c>
      <c r="D101" s="153" t="str">
        <f aca="false">IF(Species!$G101&lt;=Species!$H101,IF(AND(2&gt;=Species!$G101,2&lt;=Species!$H101),"H",""),IF(OR(2&gt;=Species!$G101,2&lt;=Species!$H101),"H",""))&amp;IF(Species!$I101=2,"S","")</f>
        <v/>
      </c>
      <c r="E101" s="153" t="str">
        <f aca="false">IF(Species!$G101&lt;=Species!$H101,IF(AND(3&gt;=Species!$G101,3&lt;=Species!$H101),"H",""),IF(OR(3&gt;=Species!$G101,3&lt;=Species!$H101),"H",""))&amp;IF(Species!$I101=3,"S","")</f>
        <v/>
      </c>
      <c r="F101" s="153" t="str">
        <f aca="false">IF(Species!$G101&lt;=Species!$H101,IF(AND(4&gt;=Species!$G101,4&lt;=Species!$H101),"H",""),IF(OR(4&gt;=Species!$G101,4&lt;=Species!$H101),"H",""))&amp;IF(Species!$I101=4,"S","")</f>
        <v/>
      </c>
      <c r="G101" s="153" t="str">
        <f aca="false">IF(Species!$G101&lt;=Species!$H101,IF(AND(5&gt;=Species!$G101,5&lt;=Species!$H101),"H",""),IF(OR(5&gt;=Species!$G101,5&lt;=Species!$H101),"H",""))&amp;IF(Species!$I101=5,"S","")</f>
        <v/>
      </c>
      <c r="H101" s="153" t="str">
        <f aca="false">IF(Species!$G101&lt;=Species!$H101,IF(AND(6&gt;=Species!$G101,6&lt;=Species!$H101),"H",""),IF(OR(6&gt;=Species!$G101,6&lt;=Species!$H101),"H",""))&amp;IF(Species!$I101=6,"S","")</f>
        <v/>
      </c>
      <c r="I101" s="153" t="str">
        <f aca="false">IF(Species!$G101&lt;=Species!$H101,IF(AND(7&gt;=Species!$G101,7&lt;=Species!$H101),"H",""),IF(OR(7&gt;=Species!$G101,7&lt;=Species!$H101),"H",""))&amp;IF(Species!$I101=7,"S","")</f>
        <v/>
      </c>
      <c r="J101" s="153" t="str">
        <f aca="false">IF(Species!$G101&lt;=Species!$H101,IF(AND(8&gt;=Species!$G101,8&lt;=Species!$H101),"H",""),IF(OR(8&gt;=Species!$G101,8&lt;=Species!$H101),"H",""))&amp;IF(Species!$I101=8,"S","")</f>
        <v/>
      </c>
      <c r="K101" s="153" t="str">
        <f aca="false">IF(Species!$G101&lt;=Species!$H101,IF(AND(9&gt;=Species!$G101,9&lt;=Species!$H101),"H",""),IF(OR(9&gt;=Species!$G101,9&lt;=Species!$H101),"H",""))&amp;IF(Species!$I101=9,"S","")</f>
        <v>HS</v>
      </c>
      <c r="L101" s="153" t="str">
        <f aca="false">IF(Species!$G101&lt;=Species!$H101,IF(AND(10&gt;=Species!$G101,10&lt;=Species!$H101),"H",""),IF(OR(10&gt;=Species!$G101,10&lt;=Species!$H101),"H",""))&amp;IF(Species!$I101=10,"S","")</f>
        <v>H</v>
      </c>
      <c r="M101" s="153" t="str">
        <f aca="false">IF(Species!$G101&lt;=Species!$H101,IF(AND(11&gt;=Species!$G101,11&lt;=Species!$H101),"H",""),IF(OR(11&gt;=Species!$G101,11&lt;=Species!$H101),"H",""))&amp;IF(Species!$I101=11,"S","")</f>
        <v/>
      </c>
      <c r="N101" s="153" t="str">
        <f aca="false">IF(Species!$G101&lt;=Species!$H101,IF(AND(12&gt;=Species!$G101,12&lt;=Species!$H101),"H",""),IF(OR(12&gt;=Species!$G101,12&lt;=Species!$H101),"H",""))&amp;IF(Species!$I101=12,"S","")</f>
        <v/>
      </c>
    </row>
    <row r="102" customFormat="false" ht="15" hidden="false" customHeight="false" outlineLevel="0" collapsed="false">
      <c r="A102" s="6" t="str">
        <f aca="false">Species!B102</f>
        <v>Cardinal Flower</v>
      </c>
      <c r="B102" s="6" t="str">
        <f aca="false">Species!F102</f>
        <v>Flower</v>
      </c>
      <c r="C102" s="153" t="str">
        <f aca="false">IF(Species!$G102&lt;=Species!$H102,IF(AND(1&gt;=Species!$G102,1&lt;=Species!$H102),"H",""),IF(OR(1&gt;=Species!$G102,1&lt;=Species!$H102),"H",""))&amp;IF(Species!$I102=1,"S","")</f>
        <v/>
      </c>
      <c r="D102" s="153" t="str">
        <f aca="false">IF(Species!$G102&lt;=Species!$H102,IF(AND(2&gt;=Species!$G102,2&lt;=Species!$H102),"H",""),IF(OR(2&gt;=Species!$G102,2&lt;=Species!$H102),"H",""))&amp;IF(Species!$I102=2,"S","")</f>
        <v/>
      </c>
      <c r="E102" s="153" t="str">
        <f aca="false">IF(Species!$G102&lt;=Species!$H102,IF(AND(3&gt;=Species!$G102,3&lt;=Species!$H102),"H",""),IF(OR(3&gt;=Species!$G102,3&lt;=Species!$H102),"H",""))&amp;IF(Species!$I102=3,"S","")</f>
        <v/>
      </c>
      <c r="F102" s="153" t="str">
        <f aca="false">IF(Species!$G102&lt;=Species!$H102,IF(AND(4&gt;=Species!$G102,4&lt;=Species!$H102),"H",""),IF(OR(4&gt;=Species!$G102,4&lt;=Species!$H102),"H",""))&amp;IF(Species!$I102=4,"S","")</f>
        <v/>
      </c>
      <c r="G102" s="153" t="str">
        <f aca="false">IF(Species!$G102&lt;=Species!$H102,IF(AND(5&gt;=Species!$G102,5&lt;=Species!$H102),"H",""),IF(OR(5&gt;=Species!$G102,5&lt;=Species!$H102),"H",""))&amp;IF(Species!$I102=5,"S","")</f>
        <v/>
      </c>
      <c r="H102" s="153" t="str">
        <f aca="false">IF(Species!$G102&lt;=Species!$H102,IF(AND(6&gt;=Species!$G102,6&lt;=Species!$H102),"H",""),IF(OR(6&gt;=Species!$G102,6&lt;=Species!$H102),"H",""))&amp;IF(Species!$I102=6,"S","")</f>
        <v/>
      </c>
      <c r="I102" s="153" t="str">
        <f aca="false">IF(Species!$G102&lt;=Species!$H102,IF(AND(7&gt;=Species!$G102,7&lt;=Species!$H102),"H",""),IF(OR(7&gt;=Species!$G102,7&lt;=Species!$H102),"H",""))&amp;IF(Species!$I102=7,"S","")</f>
        <v/>
      </c>
      <c r="J102" s="153" t="str">
        <f aca="false">IF(Species!$G102&lt;=Species!$H102,IF(AND(8&gt;=Species!$G102,8&lt;=Species!$H102),"H",""),IF(OR(8&gt;=Species!$G102,8&lt;=Species!$H102),"H",""))&amp;IF(Species!$I102=8,"S","")</f>
        <v>H</v>
      </c>
      <c r="K102" s="153" t="str">
        <f aca="false">IF(Species!$G102&lt;=Species!$H102,IF(AND(9&gt;=Species!$G102,9&lt;=Species!$H102),"H",""),IF(OR(9&gt;=Species!$G102,9&lt;=Species!$H102),"H",""))&amp;IF(Species!$I102=9,"S","")</f>
        <v>HS</v>
      </c>
      <c r="L102" s="153" t="str">
        <f aca="false">IF(Species!$G102&lt;=Species!$H102,IF(AND(10&gt;=Species!$G102,10&lt;=Species!$H102),"H",""),IF(OR(10&gt;=Species!$G102,10&lt;=Species!$H102),"H",""))&amp;IF(Species!$I102=10,"S","")</f>
        <v/>
      </c>
      <c r="M102" s="153" t="str">
        <f aca="false">IF(Species!$G102&lt;=Species!$H102,IF(AND(11&gt;=Species!$G102,11&lt;=Species!$H102),"H",""),IF(OR(11&gt;=Species!$G102,11&lt;=Species!$H102),"H",""))&amp;IF(Species!$I102=11,"S","")</f>
        <v/>
      </c>
      <c r="N102" s="153" t="str">
        <f aca="false">IF(Species!$G102&lt;=Species!$H102,IF(AND(12&gt;=Species!$G102,12&lt;=Species!$H102),"H",""),IF(OR(12&gt;=Species!$G102,12&lt;=Species!$H102),"H",""))&amp;IF(Species!$I102=12,"S","")</f>
        <v/>
      </c>
    </row>
    <row r="103" customFormat="false" ht="15" hidden="false" customHeight="false" outlineLevel="0" collapsed="false">
      <c r="A103" s="6" t="str">
        <f aca="false">Species!B103</f>
        <v>Great Blue Lobelia</v>
      </c>
      <c r="B103" s="6" t="str">
        <f aca="false">Species!F103</f>
        <v>Leaf</v>
      </c>
      <c r="C103" s="153" t="str">
        <f aca="false">IF(Species!$G103&lt;=Species!$H103,IF(AND(1&gt;=Species!$G103,1&lt;=Species!$H103),"H",""),IF(OR(1&gt;=Species!$G103,1&lt;=Species!$H103),"H",""))&amp;IF(Species!$I103=1,"S","")</f>
        <v/>
      </c>
      <c r="D103" s="153" t="str">
        <f aca="false">IF(Species!$G103&lt;=Species!$H103,IF(AND(2&gt;=Species!$G103,2&lt;=Species!$H103),"H",""),IF(OR(2&gt;=Species!$G103,2&lt;=Species!$H103),"H",""))&amp;IF(Species!$I103=2,"S","")</f>
        <v/>
      </c>
      <c r="E103" s="153" t="str">
        <f aca="false">IF(Species!$G103&lt;=Species!$H103,IF(AND(3&gt;=Species!$G103,3&lt;=Species!$H103),"H",""),IF(OR(3&gt;=Species!$G103,3&lt;=Species!$H103),"H",""))&amp;IF(Species!$I103=3,"S","")</f>
        <v/>
      </c>
      <c r="F103" s="153" t="str">
        <f aca="false">IF(Species!$G103&lt;=Species!$H103,IF(AND(4&gt;=Species!$G103,4&lt;=Species!$H103),"H",""),IF(OR(4&gt;=Species!$G103,4&lt;=Species!$H103),"H",""))&amp;IF(Species!$I103=4,"S","")</f>
        <v/>
      </c>
      <c r="G103" s="153" t="str">
        <f aca="false">IF(Species!$G103&lt;=Species!$H103,IF(AND(5&gt;=Species!$G103,5&lt;=Species!$H103),"H",""),IF(OR(5&gt;=Species!$G103,5&lt;=Species!$H103),"H",""))&amp;IF(Species!$I103=5,"S","")</f>
        <v/>
      </c>
      <c r="H103" s="153" t="str">
        <f aca="false">IF(Species!$G103&lt;=Species!$H103,IF(AND(6&gt;=Species!$G103,6&lt;=Species!$H103),"H",""),IF(OR(6&gt;=Species!$G103,6&lt;=Species!$H103),"H",""))&amp;IF(Species!$I103=6,"S","")</f>
        <v/>
      </c>
      <c r="I103" s="153" t="str">
        <f aca="false">IF(Species!$G103&lt;=Species!$H103,IF(AND(7&gt;=Species!$G103,7&lt;=Species!$H103),"H",""),IF(OR(7&gt;=Species!$G103,7&lt;=Species!$H103),"H",""))&amp;IF(Species!$I103=7,"S","")</f>
        <v/>
      </c>
      <c r="J103" s="153" t="str">
        <f aca="false">IF(Species!$G103&lt;=Species!$H103,IF(AND(8&gt;=Species!$G103,8&lt;=Species!$H103),"H",""),IF(OR(8&gt;=Species!$G103,8&lt;=Species!$H103),"H",""))&amp;IF(Species!$I103=8,"S","")</f>
        <v>H</v>
      </c>
      <c r="K103" s="153" t="str">
        <f aca="false">IF(Species!$G103&lt;=Species!$H103,IF(AND(9&gt;=Species!$G103,9&lt;=Species!$H103),"H",""),IF(OR(9&gt;=Species!$G103,9&lt;=Species!$H103),"H",""))&amp;IF(Species!$I103=9,"S","")</f>
        <v>HS</v>
      </c>
      <c r="L103" s="153" t="str">
        <f aca="false">IF(Species!$G103&lt;=Species!$H103,IF(AND(10&gt;=Species!$G103,10&lt;=Species!$H103),"H",""),IF(OR(10&gt;=Species!$G103,10&lt;=Species!$H103),"H",""))&amp;IF(Species!$I103=10,"S","")</f>
        <v/>
      </c>
      <c r="M103" s="153" t="str">
        <f aca="false">IF(Species!$G103&lt;=Species!$H103,IF(AND(11&gt;=Species!$G103,11&lt;=Species!$H103),"H",""),IF(OR(11&gt;=Species!$G103,11&lt;=Species!$H103),"H",""))&amp;IF(Species!$I103=11,"S","")</f>
        <v/>
      </c>
      <c r="N103" s="153" t="str">
        <f aca="false">IF(Species!$G103&lt;=Species!$H103,IF(AND(12&gt;=Species!$G103,12&lt;=Species!$H103),"H",""),IF(OR(12&gt;=Species!$G103,12&lt;=Species!$H103),"H",""))&amp;IF(Species!$I103=12,"S","")</f>
        <v/>
      </c>
    </row>
    <row r="104" customFormat="false" ht="15" hidden="false" customHeight="false" outlineLevel="0" collapsed="false">
      <c r="A104" s="6" t="str">
        <f aca="false">Species!B104</f>
        <v>Indian Tobacco</v>
      </c>
      <c r="B104" s="6" t="str">
        <f aca="false">Species!F104</f>
        <v>Whole</v>
      </c>
      <c r="C104" s="153" t="str">
        <f aca="false">IF(Species!$G104&lt;=Species!$H104,IF(AND(1&gt;=Species!$G104,1&lt;=Species!$H104),"H",""),IF(OR(1&gt;=Species!$G104,1&lt;=Species!$H104),"H",""))&amp;IF(Species!$I104=1,"S","")</f>
        <v/>
      </c>
      <c r="D104" s="153" t="str">
        <f aca="false">IF(Species!$G104&lt;=Species!$H104,IF(AND(2&gt;=Species!$G104,2&lt;=Species!$H104),"H",""),IF(OR(2&gt;=Species!$G104,2&lt;=Species!$H104),"H",""))&amp;IF(Species!$I104=2,"S","")</f>
        <v/>
      </c>
      <c r="E104" s="153" t="str">
        <f aca="false">IF(Species!$G104&lt;=Species!$H104,IF(AND(3&gt;=Species!$G104,3&lt;=Species!$H104),"H",""),IF(OR(3&gt;=Species!$G104,3&lt;=Species!$H104),"H",""))&amp;IF(Species!$I104=3,"S","")</f>
        <v/>
      </c>
      <c r="F104" s="153" t="str">
        <f aca="false">IF(Species!$G104&lt;=Species!$H104,IF(AND(4&gt;=Species!$G104,4&lt;=Species!$H104),"H",""),IF(OR(4&gt;=Species!$G104,4&lt;=Species!$H104),"H",""))&amp;IF(Species!$I104=4,"S","")</f>
        <v/>
      </c>
      <c r="G104" s="153" t="str">
        <f aca="false">IF(Species!$G104&lt;=Species!$H104,IF(AND(5&gt;=Species!$G104,5&lt;=Species!$H104),"H",""),IF(OR(5&gt;=Species!$G104,5&lt;=Species!$H104),"H",""))&amp;IF(Species!$I104=5,"S","")</f>
        <v/>
      </c>
      <c r="H104" s="153" t="str">
        <f aca="false">IF(Species!$G104&lt;=Species!$H104,IF(AND(6&gt;=Species!$G104,6&lt;=Species!$H104),"H",""),IF(OR(6&gt;=Species!$G104,6&lt;=Species!$H104),"H",""))&amp;IF(Species!$I104=6,"S","")</f>
        <v/>
      </c>
      <c r="I104" s="153" t="str">
        <f aca="false">IF(Species!$G104&lt;=Species!$H104,IF(AND(7&gt;=Species!$G104,7&lt;=Species!$H104),"H",""),IF(OR(7&gt;=Species!$G104,7&lt;=Species!$H104),"H",""))&amp;IF(Species!$I104=7,"S","")</f>
        <v/>
      </c>
      <c r="J104" s="153" t="str">
        <f aca="false">IF(Species!$G104&lt;=Species!$H104,IF(AND(8&gt;=Species!$G104,8&lt;=Species!$H104),"H",""),IF(OR(8&gt;=Species!$G104,8&lt;=Species!$H104),"H",""))&amp;IF(Species!$I104=8,"S","")</f>
        <v>H</v>
      </c>
      <c r="K104" s="153" t="str">
        <f aca="false">IF(Species!$G104&lt;=Species!$H104,IF(AND(9&gt;=Species!$G104,9&lt;=Species!$H104),"H",""),IF(OR(9&gt;=Species!$G104,9&lt;=Species!$H104),"H",""))&amp;IF(Species!$I104=9,"S","")</f>
        <v>HS</v>
      </c>
      <c r="L104" s="153" t="str">
        <f aca="false">IF(Species!$G104&lt;=Species!$H104,IF(AND(10&gt;=Species!$G104,10&lt;=Species!$H104),"H",""),IF(OR(10&gt;=Species!$G104,10&lt;=Species!$H104),"H",""))&amp;IF(Species!$I104=10,"S","")</f>
        <v/>
      </c>
      <c r="M104" s="153" t="str">
        <f aca="false">IF(Species!$G104&lt;=Species!$H104,IF(AND(11&gt;=Species!$G104,11&lt;=Species!$H104),"H",""),IF(OR(11&gt;=Species!$G104,11&lt;=Species!$H104),"H",""))&amp;IF(Species!$I104=11,"S","")</f>
        <v/>
      </c>
      <c r="N104" s="153" t="str">
        <f aca="false">IF(Species!$G104&lt;=Species!$H104,IF(AND(12&gt;=Species!$G104,12&lt;=Species!$H104),"H",""),IF(OR(12&gt;=Species!$G104,12&lt;=Species!$H104),"H",""))&amp;IF(Species!$I104=12,"S","")</f>
        <v/>
      </c>
    </row>
    <row r="105" customFormat="false" ht="15" hidden="false" customHeight="false" outlineLevel="0" collapsed="false">
      <c r="A105" s="6" t="str">
        <f aca="false">Species!B105</f>
        <v>Wild Lettuce</v>
      </c>
      <c r="B105" s="6" t="str">
        <f aca="false">Species!F105</f>
        <v>Sap</v>
      </c>
      <c r="C105" s="153" t="str">
        <f aca="false">IF(Species!$G105&lt;=Species!$H105,IF(AND(1&gt;=Species!$G105,1&lt;=Species!$H105),"H",""),IF(OR(1&gt;=Species!$G105,1&lt;=Species!$H105),"H",""))&amp;IF(Species!$I105=1,"S","")</f>
        <v/>
      </c>
      <c r="D105" s="153" t="str">
        <f aca="false">IF(Species!$G105&lt;=Species!$H105,IF(AND(2&gt;=Species!$G105,2&lt;=Species!$H105),"H",""),IF(OR(2&gt;=Species!$G105,2&lt;=Species!$H105),"H",""))&amp;IF(Species!$I105=2,"S","")</f>
        <v/>
      </c>
      <c r="E105" s="153" t="str">
        <f aca="false">IF(Species!$G105&lt;=Species!$H105,IF(AND(3&gt;=Species!$G105,3&lt;=Species!$H105),"H",""),IF(OR(3&gt;=Species!$G105,3&lt;=Species!$H105),"H",""))&amp;IF(Species!$I105=3,"S","")</f>
        <v/>
      </c>
      <c r="F105" s="153" t="str">
        <f aca="false">IF(Species!$G105&lt;=Species!$H105,IF(AND(4&gt;=Species!$G105,4&lt;=Species!$H105),"H",""),IF(OR(4&gt;=Species!$G105,4&lt;=Species!$H105),"H",""))&amp;IF(Species!$I105=4,"S","")</f>
        <v/>
      </c>
      <c r="G105" s="153" t="str">
        <f aca="false">IF(Species!$G105&lt;=Species!$H105,IF(AND(5&gt;=Species!$G105,5&lt;=Species!$H105),"H",""),IF(OR(5&gt;=Species!$G105,5&lt;=Species!$H105),"H",""))&amp;IF(Species!$I105=5,"S","")</f>
        <v/>
      </c>
      <c r="H105" s="153" t="str">
        <f aca="false">IF(Species!$G105&lt;=Species!$H105,IF(AND(6&gt;=Species!$G105,6&lt;=Species!$H105),"H",""),IF(OR(6&gt;=Species!$G105,6&lt;=Species!$H105),"H",""))&amp;IF(Species!$I105=6,"S","")</f>
        <v/>
      </c>
      <c r="I105" s="153" t="str">
        <f aca="false">IF(Species!$G105&lt;=Species!$H105,IF(AND(7&gt;=Species!$G105,7&lt;=Species!$H105),"H",""),IF(OR(7&gt;=Species!$G105,7&lt;=Species!$H105),"H",""))&amp;IF(Species!$I105=7,"S","")</f>
        <v>H</v>
      </c>
      <c r="J105" s="153" t="str">
        <f aca="false">IF(Species!$G105&lt;=Species!$H105,IF(AND(8&gt;=Species!$G105,8&lt;=Species!$H105),"H",""),IF(OR(8&gt;=Species!$G105,8&lt;=Species!$H105),"H",""))&amp;IF(Species!$I105=8,"S","")</f>
        <v>H</v>
      </c>
      <c r="K105" s="153" t="str">
        <f aca="false">IF(Species!$G105&lt;=Species!$H105,IF(AND(9&gt;=Species!$G105,9&lt;=Species!$H105),"H",""),IF(OR(9&gt;=Species!$G105,9&lt;=Species!$H105),"H",""))&amp;IF(Species!$I105=9,"S","")</f>
        <v>HS</v>
      </c>
      <c r="L105" s="153" t="str">
        <f aca="false">IF(Species!$G105&lt;=Species!$H105,IF(AND(10&gt;=Species!$G105,10&lt;=Species!$H105),"H",""),IF(OR(10&gt;=Species!$G105,10&lt;=Species!$H105),"H",""))&amp;IF(Species!$I105=10,"S","")</f>
        <v/>
      </c>
      <c r="M105" s="153" t="str">
        <f aca="false">IF(Species!$G105&lt;=Species!$H105,IF(AND(11&gt;=Species!$G105,11&lt;=Species!$H105),"H",""),IF(OR(11&gt;=Species!$G105,11&lt;=Species!$H105),"H",""))&amp;IF(Species!$I105=11,"S","")</f>
        <v/>
      </c>
      <c r="N105" s="153" t="str">
        <f aca="false">IF(Species!$G105&lt;=Species!$H105,IF(AND(12&gt;=Species!$G105,12&lt;=Species!$H105),"H",""),IF(OR(12&gt;=Species!$G105,12&lt;=Species!$H105),"H",""))&amp;IF(Species!$I105=12,"S","")</f>
        <v/>
      </c>
    </row>
    <row r="106" customFormat="false" ht="15" hidden="false" customHeight="false" outlineLevel="0" collapsed="false">
      <c r="A106" s="6" t="str">
        <f aca="false">Species!B106</f>
        <v>Eastern Prickly Pear Pad</v>
      </c>
      <c r="B106" s="6" t="str">
        <f aca="false">Species!F106</f>
        <v>Pad</v>
      </c>
      <c r="C106" s="153" t="str">
        <f aca="false">IF(Species!$G106&lt;=Species!$H106,IF(AND(1&gt;=Species!$G106,1&lt;=Species!$H106),"H",""),IF(OR(1&gt;=Species!$G106,1&lt;=Species!$H106),"H",""))&amp;IF(Species!$I106=1,"S","")</f>
        <v/>
      </c>
      <c r="D106" s="153" t="str">
        <f aca="false">IF(Species!$G106&lt;=Species!$H106,IF(AND(2&gt;=Species!$G106,2&lt;=Species!$H106),"H",""),IF(OR(2&gt;=Species!$G106,2&lt;=Species!$H106),"H",""))&amp;IF(Species!$I106=2,"S","")</f>
        <v/>
      </c>
      <c r="E106" s="153" t="str">
        <f aca="false">IF(Species!$G106&lt;=Species!$H106,IF(AND(3&gt;=Species!$G106,3&lt;=Species!$H106),"H",""),IF(OR(3&gt;=Species!$G106,3&lt;=Species!$H106),"H",""))&amp;IF(Species!$I106=3,"S","")</f>
        <v/>
      </c>
      <c r="F106" s="153" t="str">
        <f aca="false">IF(Species!$G106&lt;=Species!$H106,IF(AND(4&gt;=Species!$G106,4&lt;=Species!$H106),"H",""),IF(OR(4&gt;=Species!$G106,4&lt;=Species!$H106),"H",""))&amp;IF(Species!$I106=4,"S","")</f>
        <v/>
      </c>
      <c r="G106" s="153" t="str">
        <f aca="false">IF(Species!$G106&lt;=Species!$H106,IF(AND(5&gt;=Species!$G106,5&lt;=Species!$H106),"H",""),IF(OR(5&gt;=Species!$G106,5&lt;=Species!$H106),"H",""))&amp;IF(Species!$I106=5,"S","")</f>
        <v>H</v>
      </c>
      <c r="H106" s="153" t="str">
        <f aca="false">IF(Species!$G106&lt;=Species!$H106,IF(AND(6&gt;=Species!$G106,6&lt;=Species!$H106),"H",""),IF(OR(6&gt;=Species!$G106,6&lt;=Species!$H106),"H",""))&amp;IF(Species!$I106=6,"S","")</f>
        <v>H</v>
      </c>
      <c r="I106" s="153" t="str">
        <f aca="false">IF(Species!$G106&lt;=Species!$H106,IF(AND(7&gt;=Species!$G106,7&lt;=Species!$H106),"H",""),IF(OR(7&gt;=Species!$G106,7&lt;=Species!$H106),"H",""))&amp;IF(Species!$I106=7,"S","")</f>
        <v>H</v>
      </c>
      <c r="J106" s="153" t="str">
        <f aca="false">IF(Species!$G106&lt;=Species!$H106,IF(AND(8&gt;=Species!$G106,8&lt;=Species!$H106),"H",""),IF(OR(8&gt;=Species!$G106,8&lt;=Species!$H106),"H",""))&amp;IF(Species!$I106=8,"S","")</f>
        <v>H</v>
      </c>
      <c r="K106" s="153" t="str">
        <f aca="false">IF(Species!$G106&lt;=Species!$H106,IF(AND(9&gt;=Species!$G106,9&lt;=Species!$H106),"H",""),IF(OR(9&gt;=Species!$G106,9&lt;=Species!$H106),"H",""))&amp;IF(Species!$I106=9,"S","")</f>
        <v>H</v>
      </c>
      <c r="L106" s="153" t="str">
        <f aca="false">IF(Species!$G106&lt;=Species!$H106,IF(AND(10&gt;=Species!$G106,10&lt;=Species!$H106),"H",""),IF(OR(10&gt;=Species!$G106,10&lt;=Species!$H106),"H",""))&amp;IF(Species!$I106=10,"S","")</f>
        <v/>
      </c>
      <c r="M106" s="153" t="str">
        <f aca="false">IF(Species!$G106&lt;=Species!$H106,IF(AND(11&gt;=Species!$G106,11&lt;=Species!$H106),"H",""),IF(OR(11&gt;=Species!$G106,11&lt;=Species!$H106),"H",""))&amp;IF(Species!$I106=11,"S","")</f>
        <v/>
      </c>
      <c r="N106" s="153" t="str">
        <f aca="false">IF(Species!$G106&lt;=Species!$H106,IF(AND(12&gt;=Species!$G106,12&lt;=Species!$H106),"H",""),IF(OR(12&gt;=Species!$G106,12&lt;=Species!$H106),"H",""))&amp;IF(Species!$I106=12,"S","")</f>
        <v/>
      </c>
    </row>
    <row r="107" customFormat="false" ht="15" hidden="false" customHeight="false" outlineLevel="0" collapsed="false">
      <c r="A107" s="6" t="str">
        <f aca="false">Species!B107</f>
        <v>Eastern Prickly Pear Fruit</v>
      </c>
      <c r="B107" s="6" t="str">
        <f aca="false">Species!F107</f>
        <v>Fruit</v>
      </c>
      <c r="C107" s="153" t="str">
        <f aca="false">IF(Species!$G107&lt;=Species!$H107,IF(AND(1&gt;=Species!$G107,1&lt;=Species!$H107),"H",""),IF(OR(1&gt;=Species!$G107,1&lt;=Species!$H107),"H",""))&amp;IF(Species!$I107=1,"S","")</f>
        <v/>
      </c>
      <c r="D107" s="153" t="str">
        <f aca="false">IF(Species!$G107&lt;=Species!$H107,IF(AND(2&gt;=Species!$G107,2&lt;=Species!$H107),"H",""),IF(OR(2&gt;=Species!$G107,2&lt;=Species!$H107),"H",""))&amp;IF(Species!$I107=2,"S","")</f>
        <v/>
      </c>
      <c r="E107" s="153" t="str">
        <f aca="false">IF(Species!$G107&lt;=Species!$H107,IF(AND(3&gt;=Species!$G107,3&lt;=Species!$H107),"H",""),IF(OR(3&gt;=Species!$G107,3&lt;=Species!$H107),"H",""))&amp;IF(Species!$I107=3,"S","")</f>
        <v/>
      </c>
      <c r="F107" s="153" t="str">
        <f aca="false">IF(Species!$G107&lt;=Species!$H107,IF(AND(4&gt;=Species!$G107,4&lt;=Species!$H107),"H",""),IF(OR(4&gt;=Species!$G107,4&lt;=Species!$H107),"H",""))&amp;IF(Species!$I107=4,"S","")</f>
        <v/>
      </c>
      <c r="G107" s="153" t="str">
        <f aca="false">IF(Species!$G107&lt;=Species!$H107,IF(AND(5&gt;=Species!$G107,5&lt;=Species!$H107),"H",""),IF(OR(5&gt;=Species!$G107,5&lt;=Species!$H107),"H",""))&amp;IF(Species!$I107=5,"S","")</f>
        <v/>
      </c>
      <c r="H107" s="153" t="str">
        <f aca="false">IF(Species!$G107&lt;=Species!$H107,IF(AND(6&gt;=Species!$G107,6&lt;=Species!$H107),"H",""),IF(OR(6&gt;=Species!$G107,6&lt;=Species!$H107),"H",""))&amp;IF(Species!$I107=6,"S","")</f>
        <v/>
      </c>
      <c r="I107" s="153" t="str">
        <f aca="false">IF(Species!$G107&lt;=Species!$H107,IF(AND(7&gt;=Species!$G107,7&lt;=Species!$H107),"H",""),IF(OR(7&gt;=Species!$G107,7&lt;=Species!$H107),"H",""))&amp;IF(Species!$I107=7,"S","")</f>
        <v/>
      </c>
      <c r="J107" s="153" t="str">
        <f aca="false">IF(Species!$G107&lt;=Species!$H107,IF(AND(8&gt;=Species!$G107,8&lt;=Species!$H107),"H",""),IF(OR(8&gt;=Species!$G107,8&lt;=Species!$H107),"H",""))&amp;IF(Species!$I107=8,"S","")</f>
        <v>H</v>
      </c>
      <c r="K107" s="153" t="str">
        <f aca="false">IF(Species!$G107&lt;=Species!$H107,IF(AND(9&gt;=Species!$G107,9&lt;=Species!$H107),"H",""),IF(OR(9&gt;=Species!$G107,9&lt;=Species!$H107),"H",""))&amp;IF(Species!$I107=9,"S","")</f>
        <v>H</v>
      </c>
      <c r="L107" s="153" t="str">
        <f aca="false">IF(Species!$G107&lt;=Species!$H107,IF(AND(10&gt;=Species!$G107,10&lt;=Species!$H107),"H",""),IF(OR(10&gt;=Species!$G107,10&lt;=Species!$H107),"H",""))&amp;IF(Species!$I107=10,"S","")</f>
        <v>H</v>
      </c>
      <c r="M107" s="153" t="str">
        <f aca="false">IF(Species!$G107&lt;=Species!$H107,IF(AND(11&gt;=Species!$G107,11&lt;=Species!$H107),"H",""),IF(OR(11&gt;=Species!$G107,11&lt;=Species!$H107),"H",""))&amp;IF(Species!$I107=11,"S","")</f>
        <v/>
      </c>
      <c r="N107" s="153" t="str">
        <f aca="false">IF(Species!$G107&lt;=Species!$H107,IF(AND(12&gt;=Species!$G107,12&lt;=Species!$H107),"H",""),IF(OR(12&gt;=Species!$G107,12&lt;=Species!$H107),"H",""))&amp;IF(Species!$I107=12,"S","")</f>
        <v/>
      </c>
    </row>
    <row r="108" customFormat="false" ht="15" hidden="false" customHeight="false" outlineLevel="0" collapsed="false">
      <c r="A108" s="6" t="str">
        <f aca="false">Species!B108</f>
        <v>Eastern Red Cedar</v>
      </c>
      <c r="B108" s="6" t="str">
        <f aca="false">Species!F108</f>
        <v>Leaf</v>
      </c>
      <c r="C108" s="153" t="str">
        <f aca="false">IF(Species!$G108&lt;=Species!$H108,IF(AND(1&gt;=Species!$G108,1&lt;=Species!$H108),"H",""),IF(OR(1&gt;=Species!$G108,1&lt;=Species!$H108),"H",""))&amp;IF(Species!$I108=1,"S","")</f>
        <v>H</v>
      </c>
      <c r="D108" s="153" t="str">
        <f aca="false">IF(Species!$G108&lt;=Species!$H108,IF(AND(2&gt;=Species!$G108,2&lt;=Species!$H108),"H",""),IF(OR(2&gt;=Species!$G108,2&lt;=Species!$H108),"H",""))&amp;IF(Species!$I108=2,"S","")</f>
        <v>H</v>
      </c>
      <c r="E108" s="153" t="str">
        <f aca="false">IF(Species!$G108&lt;=Species!$H108,IF(AND(3&gt;=Species!$G108,3&lt;=Species!$H108),"H",""),IF(OR(3&gt;=Species!$G108,3&lt;=Species!$H108),"H",""))&amp;IF(Species!$I108=3,"S","")</f>
        <v>H</v>
      </c>
      <c r="F108" s="153" t="str">
        <f aca="false">IF(Species!$G108&lt;=Species!$H108,IF(AND(4&gt;=Species!$G108,4&lt;=Species!$H108),"H",""),IF(OR(4&gt;=Species!$G108,4&lt;=Species!$H108),"H",""))&amp;IF(Species!$I108=4,"S","")</f>
        <v>H</v>
      </c>
      <c r="G108" s="153" t="str">
        <f aca="false">IF(Species!$G108&lt;=Species!$H108,IF(AND(5&gt;=Species!$G108,5&lt;=Species!$H108),"H",""),IF(OR(5&gt;=Species!$G108,5&lt;=Species!$H108),"H",""))&amp;IF(Species!$I108=5,"S","")</f>
        <v>H</v>
      </c>
      <c r="H108" s="153" t="str">
        <f aca="false">IF(Species!$G108&lt;=Species!$H108,IF(AND(6&gt;=Species!$G108,6&lt;=Species!$H108),"H",""),IF(OR(6&gt;=Species!$G108,6&lt;=Species!$H108),"H",""))&amp;IF(Species!$I108=6,"S","")</f>
        <v>H</v>
      </c>
      <c r="I108" s="153" t="str">
        <f aca="false">IF(Species!$G108&lt;=Species!$H108,IF(AND(7&gt;=Species!$G108,7&lt;=Species!$H108),"H",""),IF(OR(7&gt;=Species!$G108,7&lt;=Species!$H108),"H",""))&amp;IF(Species!$I108=7,"S","")</f>
        <v>H</v>
      </c>
      <c r="J108" s="153" t="str">
        <f aca="false">IF(Species!$G108&lt;=Species!$H108,IF(AND(8&gt;=Species!$G108,8&lt;=Species!$H108),"H",""),IF(OR(8&gt;=Species!$G108,8&lt;=Species!$H108),"H",""))&amp;IF(Species!$I108=8,"S","")</f>
        <v>H</v>
      </c>
      <c r="K108" s="153" t="str">
        <f aca="false">IF(Species!$G108&lt;=Species!$H108,IF(AND(9&gt;=Species!$G108,9&lt;=Species!$H108),"H",""),IF(OR(9&gt;=Species!$G108,9&lt;=Species!$H108),"H",""))&amp;IF(Species!$I108=9,"S","")</f>
        <v>H</v>
      </c>
      <c r="L108" s="153" t="str">
        <f aca="false">IF(Species!$G108&lt;=Species!$H108,IF(AND(10&gt;=Species!$G108,10&lt;=Species!$H108),"H",""),IF(OR(10&gt;=Species!$G108,10&lt;=Species!$H108),"H",""))&amp;IF(Species!$I108=10,"S","")</f>
        <v>H</v>
      </c>
      <c r="M108" s="153" t="str">
        <f aca="false">IF(Species!$G108&lt;=Species!$H108,IF(AND(11&gt;=Species!$G108,11&lt;=Species!$H108),"H",""),IF(OR(11&gt;=Species!$G108,11&lt;=Species!$H108),"H",""))&amp;IF(Species!$I108=11,"S","")</f>
        <v>H</v>
      </c>
      <c r="N108" s="153" t="str">
        <f aca="false">IF(Species!$G108&lt;=Species!$H108,IF(AND(12&gt;=Species!$G108,12&lt;=Species!$H108),"H",""),IF(OR(12&gt;=Species!$G108,12&lt;=Species!$H108),"H",""))&amp;IF(Species!$I108=12,"S","")</f>
        <v>H</v>
      </c>
    </row>
    <row r="109" customFormat="false" ht="15" hidden="false" customHeight="false" outlineLevel="0" collapsed="false">
      <c r="A109" s="6" t="str">
        <f aca="false">Species!B109</f>
        <v>Red Cedar Berry</v>
      </c>
      <c r="B109" s="6" t="str">
        <f aca="false">Species!F109</f>
        <v>Fruit</v>
      </c>
      <c r="C109" s="153" t="str">
        <f aca="false">IF(Species!$G109&lt;=Species!$H109,IF(AND(1&gt;=Species!$G109,1&lt;=Species!$H109),"H",""),IF(OR(1&gt;=Species!$G109,1&lt;=Species!$H109),"H",""))&amp;IF(Species!$I109=1,"S","")</f>
        <v/>
      </c>
      <c r="D109" s="153" t="str">
        <f aca="false">IF(Species!$G109&lt;=Species!$H109,IF(AND(2&gt;=Species!$G109,2&lt;=Species!$H109),"H",""),IF(OR(2&gt;=Species!$G109,2&lt;=Species!$H109),"H",""))&amp;IF(Species!$I109=2,"S","")</f>
        <v/>
      </c>
      <c r="E109" s="153" t="str">
        <f aca="false">IF(Species!$G109&lt;=Species!$H109,IF(AND(3&gt;=Species!$G109,3&lt;=Species!$H109),"H",""),IF(OR(3&gt;=Species!$G109,3&lt;=Species!$H109),"H",""))&amp;IF(Species!$I109=3,"S","")</f>
        <v/>
      </c>
      <c r="F109" s="153" t="str">
        <f aca="false">IF(Species!$G109&lt;=Species!$H109,IF(AND(4&gt;=Species!$G109,4&lt;=Species!$H109),"H",""),IF(OR(4&gt;=Species!$G109,4&lt;=Species!$H109),"H",""))&amp;IF(Species!$I109=4,"S","")</f>
        <v/>
      </c>
      <c r="G109" s="153" t="str">
        <f aca="false">IF(Species!$G109&lt;=Species!$H109,IF(AND(5&gt;=Species!$G109,5&lt;=Species!$H109),"H",""),IF(OR(5&gt;=Species!$G109,5&lt;=Species!$H109),"H",""))&amp;IF(Species!$I109=5,"S","")</f>
        <v/>
      </c>
      <c r="H109" s="153" t="str">
        <f aca="false">IF(Species!$G109&lt;=Species!$H109,IF(AND(6&gt;=Species!$G109,6&lt;=Species!$H109),"H",""),IF(OR(6&gt;=Species!$G109,6&lt;=Species!$H109),"H",""))&amp;IF(Species!$I109=6,"S","")</f>
        <v/>
      </c>
      <c r="I109" s="153" t="str">
        <f aca="false">IF(Species!$G109&lt;=Species!$H109,IF(AND(7&gt;=Species!$G109,7&lt;=Species!$H109),"H",""),IF(OR(7&gt;=Species!$G109,7&lt;=Species!$H109),"H",""))&amp;IF(Species!$I109=7,"S","")</f>
        <v/>
      </c>
      <c r="J109" s="153" t="str">
        <f aca="false">IF(Species!$G109&lt;=Species!$H109,IF(AND(8&gt;=Species!$G109,8&lt;=Species!$H109),"H",""),IF(OR(8&gt;=Species!$G109,8&lt;=Species!$H109),"H",""))&amp;IF(Species!$I109=8,"S","")</f>
        <v/>
      </c>
      <c r="K109" s="153" t="str">
        <f aca="false">IF(Species!$G109&lt;=Species!$H109,IF(AND(9&gt;=Species!$G109,9&lt;=Species!$H109),"H",""),IF(OR(9&gt;=Species!$G109,9&lt;=Species!$H109),"H",""))&amp;IF(Species!$I109=9,"S","")</f>
        <v>H</v>
      </c>
      <c r="L109" s="153" t="str">
        <f aca="false">IF(Species!$G109&lt;=Species!$H109,IF(AND(10&gt;=Species!$G109,10&lt;=Species!$H109),"H",""),IF(OR(10&gt;=Species!$G109,10&lt;=Species!$H109),"H",""))&amp;IF(Species!$I109=10,"S","")</f>
        <v>H</v>
      </c>
      <c r="M109" s="153" t="str">
        <f aca="false">IF(Species!$G109&lt;=Species!$H109,IF(AND(11&gt;=Species!$G109,11&lt;=Species!$H109),"H",""),IF(OR(11&gt;=Species!$G109,11&lt;=Species!$H109),"H",""))&amp;IF(Species!$I109=11,"S","")</f>
        <v>H</v>
      </c>
      <c r="N109" s="153" t="str">
        <f aca="false">IF(Species!$G109&lt;=Species!$H109,IF(AND(12&gt;=Species!$G109,12&lt;=Species!$H109),"H",""),IF(OR(12&gt;=Species!$G109,12&lt;=Species!$H109),"H",""))&amp;IF(Species!$I109=12,"S","")</f>
        <v>H</v>
      </c>
    </row>
    <row r="110" customFormat="false" ht="15" hidden="false" customHeight="false" outlineLevel="0" collapsed="false">
      <c r="A110" s="6" t="str">
        <f aca="false">Species!B110</f>
        <v>Wild Columbine</v>
      </c>
      <c r="B110" s="6" t="str">
        <f aca="false">Species!F110</f>
        <v>Seed</v>
      </c>
      <c r="C110" s="153" t="str">
        <f aca="false">IF(Species!$G110&lt;=Species!$H110,IF(AND(1&gt;=Species!$G110,1&lt;=Species!$H110),"H",""),IF(OR(1&gt;=Species!$G110,1&lt;=Species!$H110),"H",""))&amp;IF(Species!$I110=1,"S","")</f>
        <v/>
      </c>
      <c r="D110" s="153" t="str">
        <f aca="false">IF(Species!$G110&lt;=Species!$H110,IF(AND(2&gt;=Species!$G110,2&lt;=Species!$H110),"H",""),IF(OR(2&gt;=Species!$G110,2&lt;=Species!$H110),"H",""))&amp;IF(Species!$I110=2,"S","")</f>
        <v/>
      </c>
      <c r="E110" s="153" t="str">
        <f aca="false">IF(Species!$G110&lt;=Species!$H110,IF(AND(3&gt;=Species!$G110,3&lt;=Species!$H110),"H",""),IF(OR(3&gt;=Species!$G110,3&lt;=Species!$H110),"H",""))&amp;IF(Species!$I110=3,"S","")</f>
        <v/>
      </c>
      <c r="F110" s="153" t="str">
        <f aca="false">IF(Species!$G110&lt;=Species!$H110,IF(AND(4&gt;=Species!$G110,4&lt;=Species!$H110),"H",""),IF(OR(4&gt;=Species!$G110,4&lt;=Species!$H110),"H",""))&amp;IF(Species!$I110=4,"S","")</f>
        <v/>
      </c>
      <c r="G110" s="153" t="str">
        <f aca="false">IF(Species!$G110&lt;=Species!$H110,IF(AND(5&gt;=Species!$G110,5&lt;=Species!$H110),"H",""),IF(OR(5&gt;=Species!$G110,5&lt;=Species!$H110),"H",""))&amp;IF(Species!$I110=5,"S","")</f>
        <v/>
      </c>
      <c r="H110" s="153" t="str">
        <f aca="false">IF(Species!$G110&lt;=Species!$H110,IF(AND(6&gt;=Species!$G110,6&lt;=Species!$H110),"H",""),IF(OR(6&gt;=Species!$G110,6&lt;=Species!$H110),"H",""))&amp;IF(Species!$I110=6,"S","")</f>
        <v>H</v>
      </c>
      <c r="I110" s="153" t="str">
        <f aca="false">IF(Species!$G110&lt;=Species!$H110,IF(AND(7&gt;=Species!$G110,7&lt;=Species!$H110),"H",""),IF(OR(7&gt;=Species!$G110,7&lt;=Species!$H110),"H",""))&amp;IF(Species!$I110=7,"S","")</f>
        <v>H</v>
      </c>
      <c r="J110" s="153" t="str">
        <f aca="false">IF(Species!$G110&lt;=Species!$H110,IF(AND(8&gt;=Species!$G110,8&lt;=Species!$H110),"H",""),IF(OR(8&gt;=Species!$G110,8&lt;=Species!$H110),"H",""))&amp;IF(Species!$I110=8,"S","")</f>
        <v/>
      </c>
      <c r="K110" s="153" t="str">
        <f aca="false">IF(Species!$G110&lt;=Species!$H110,IF(AND(9&gt;=Species!$G110,9&lt;=Species!$H110),"H",""),IF(OR(9&gt;=Species!$G110,9&lt;=Species!$H110),"H",""))&amp;IF(Species!$I110=9,"S","")</f>
        <v/>
      </c>
      <c r="L110" s="153" t="str">
        <f aca="false">IF(Species!$G110&lt;=Species!$H110,IF(AND(10&gt;=Species!$G110,10&lt;=Species!$H110),"H",""),IF(OR(10&gt;=Species!$G110,10&lt;=Species!$H110),"H",""))&amp;IF(Species!$I110=10,"S","")</f>
        <v/>
      </c>
      <c r="M110" s="153" t="str">
        <f aca="false">IF(Species!$G110&lt;=Species!$H110,IF(AND(11&gt;=Species!$G110,11&lt;=Species!$H110),"H",""),IF(OR(11&gt;=Species!$G110,11&lt;=Species!$H110),"H",""))&amp;IF(Species!$I110=11,"S","")</f>
        <v/>
      </c>
      <c r="N110" s="153" t="str">
        <f aca="false">IF(Species!$G110&lt;=Species!$H110,IF(AND(12&gt;=Species!$G110,12&lt;=Species!$H110),"H",""),IF(OR(12&gt;=Species!$G110,12&lt;=Species!$H110),"H",""))&amp;IF(Species!$I110=12,"S","")</f>
        <v/>
      </c>
    </row>
    <row r="111" customFormat="false" ht="15" hidden="false" customHeight="false" outlineLevel="0" collapsed="false">
      <c r="A111" s="6" t="str">
        <f aca="false">Species!B111</f>
        <v>Walking Fern</v>
      </c>
      <c r="B111" s="6" t="str">
        <f aca="false">Species!F111</f>
        <v>Leaf</v>
      </c>
      <c r="C111" s="153" t="str">
        <f aca="false">IF(Species!$G111&lt;=Species!$H111,IF(AND(1&gt;=Species!$G111,1&lt;=Species!$H111),"H",""),IF(OR(1&gt;=Species!$G111,1&lt;=Species!$H111),"H",""))&amp;IF(Species!$I111=1,"S","")</f>
        <v>H</v>
      </c>
      <c r="D111" s="153" t="str">
        <f aca="false">IF(Species!$G111&lt;=Species!$H111,IF(AND(2&gt;=Species!$G111,2&lt;=Species!$H111),"H",""),IF(OR(2&gt;=Species!$G111,2&lt;=Species!$H111),"H",""))&amp;IF(Species!$I111=2,"S","")</f>
        <v>H</v>
      </c>
      <c r="E111" s="153" t="str">
        <f aca="false">IF(Species!$G111&lt;=Species!$H111,IF(AND(3&gt;=Species!$G111,3&lt;=Species!$H111),"H",""),IF(OR(3&gt;=Species!$G111,3&lt;=Species!$H111),"H",""))&amp;IF(Species!$I111=3,"S","")</f>
        <v>H</v>
      </c>
      <c r="F111" s="153" t="str">
        <f aca="false">IF(Species!$G111&lt;=Species!$H111,IF(AND(4&gt;=Species!$G111,4&lt;=Species!$H111),"H",""),IF(OR(4&gt;=Species!$G111,4&lt;=Species!$H111),"H",""))&amp;IF(Species!$I111=4,"S","")</f>
        <v>H</v>
      </c>
      <c r="G111" s="153" t="str">
        <f aca="false">IF(Species!$G111&lt;=Species!$H111,IF(AND(5&gt;=Species!$G111,5&lt;=Species!$H111),"H",""),IF(OR(5&gt;=Species!$G111,5&lt;=Species!$H111),"H",""))&amp;IF(Species!$I111=5,"S","")</f>
        <v>H</v>
      </c>
      <c r="H111" s="153" t="str">
        <f aca="false">IF(Species!$G111&lt;=Species!$H111,IF(AND(6&gt;=Species!$G111,6&lt;=Species!$H111),"H",""),IF(OR(6&gt;=Species!$G111,6&lt;=Species!$H111),"H",""))&amp;IF(Species!$I111=6,"S","")</f>
        <v>H</v>
      </c>
      <c r="I111" s="153" t="str">
        <f aca="false">IF(Species!$G111&lt;=Species!$H111,IF(AND(7&gt;=Species!$G111,7&lt;=Species!$H111),"H",""),IF(OR(7&gt;=Species!$G111,7&lt;=Species!$H111),"H",""))&amp;IF(Species!$I111=7,"S","")</f>
        <v>H</v>
      </c>
      <c r="J111" s="153" t="str">
        <f aca="false">IF(Species!$G111&lt;=Species!$H111,IF(AND(8&gt;=Species!$G111,8&lt;=Species!$H111),"H",""),IF(OR(8&gt;=Species!$G111,8&lt;=Species!$H111),"H",""))&amp;IF(Species!$I111=8,"S","")</f>
        <v>H</v>
      </c>
      <c r="K111" s="153" t="str">
        <f aca="false">IF(Species!$G111&lt;=Species!$H111,IF(AND(9&gt;=Species!$G111,9&lt;=Species!$H111),"H",""),IF(OR(9&gt;=Species!$G111,9&lt;=Species!$H111),"H",""))&amp;IF(Species!$I111=9,"S","")</f>
        <v>H</v>
      </c>
      <c r="L111" s="153" t="str">
        <f aca="false">IF(Species!$G111&lt;=Species!$H111,IF(AND(10&gt;=Species!$G111,10&lt;=Species!$H111),"H",""),IF(OR(10&gt;=Species!$G111,10&lt;=Species!$H111),"H",""))&amp;IF(Species!$I111=10,"S","")</f>
        <v>H</v>
      </c>
      <c r="M111" s="153" t="str">
        <f aca="false">IF(Species!$G111&lt;=Species!$H111,IF(AND(11&gt;=Species!$G111,11&lt;=Species!$H111),"H",""),IF(OR(11&gt;=Species!$G111,11&lt;=Species!$H111),"H",""))&amp;IF(Species!$I111=11,"S","")</f>
        <v>H</v>
      </c>
      <c r="N111" s="153" t="str">
        <f aca="false">IF(Species!$G111&lt;=Species!$H111,IF(AND(12&gt;=Species!$G111,12&lt;=Species!$H111),"H",""),IF(OR(12&gt;=Species!$G111,12&lt;=Species!$H111),"H",""))&amp;IF(Species!$I111=12,"S","")</f>
        <v>H</v>
      </c>
    </row>
    <row r="112" customFormat="false" ht="15" hidden="false" customHeight="false" outlineLevel="0" collapsed="false">
      <c r="A112" s="6" t="str">
        <f aca="false">Species!B112</f>
        <v>Wild Hydrangea</v>
      </c>
      <c r="B112" s="6" t="str">
        <f aca="false">Species!F112</f>
        <v>Root</v>
      </c>
      <c r="C112" s="153" t="str">
        <f aca="false">IF(Species!$G112&lt;=Species!$H112,IF(AND(1&gt;=Species!$G112,1&lt;=Species!$H112),"H",""),IF(OR(1&gt;=Species!$G112,1&lt;=Species!$H112),"H",""))&amp;IF(Species!$I112=1,"S","")</f>
        <v/>
      </c>
      <c r="D112" s="153" t="str">
        <f aca="false">IF(Species!$G112&lt;=Species!$H112,IF(AND(2&gt;=Species!$G112,2&lt;=Species!$H112),"H",""),IF(OR(2&gt;=Species!$G112,2&lt;=Species!$H112),"H",""))&amp;IF(Species!$I112=2,"S","")</f>
        <v/>
      </c>
      <c r="E112" s="153" t="str">
        <f aca="false">IF(Species!$G112&lt;=Species!$H112,IF(AND(3&gt;=Species!$G112,3&lt;=Species!$H112),"H",""),IF(OR(3&gt;=Species!$G112,3&lt;=Species!$H112),"H",""))&amp;IF(Species!$I112=3,"S","")</f>
        <v/>
      </c>
      <c r="F112" s="153" t="str">
        <f aca="false">IF(Species!$G112&lt;=Species!$H112,IF(AND(4&gt;=Species!$G112,4&lt;=Species!$H112),"H",""),IF(OR(4&gt;=Species!$G112,4&lt;=Species!$H112),"H",""))&amp;IF(Species!$I112=4,"S","")</f>
        <v/>
      </c>
      <c r="G112" s="153" t="str">
        <f aca="false">IF(Species!$G112&lt;=Species!$H112,IF(AND(5&gt;=Species!$G112,5&lt;=Species!$H112),"H",""),IF(OR(5&gt;=Species!$G112,5&lt;=Species!$H112),"H",""))&amp;IF(Species!$I112=5,"S","")</f>
        <v/>
      </c>
      <c r="H112" s="153" t="str">
        <f aca="false">IF(Species!$G112&lt;=Species!$H112,IF(AND(6&gt;=Species!$G112,6&lt;=Species!$H112),"H",""),IF(OR(6&gt;=Species!$G112,6&lt;=Species!$H112),"H",""))&amp;IF(Species!$I112=6,"S","")</f>
        <v/>
      </c>
      <c r="I112" s="153" t="str">
        <f aca="false">IF(Species!$G112&lt;=Species!$H112,IF(AND(7&gt;=Species!$G112,7&lt;=Species!$H112),"H",""),IF(OR(7&gt;=Species!$G112,7&lt;=Species!$H112),"H",""))&amp;IF(Species!$I112=7,"S","")</f>
        <v/>
      </c>
      <c r="J112" s="153" t="str">
        <f aca="false">IF(Species!$G112&lt;=Species!$H112,IF(AND(8&gt;=Species!$G112,8&lt;=Species!$H112),"H",""),IF(OR(8&gt;=Species!$G112,8&lt;=Species!$H112),"H",""))&amp;IF(Species!$I112=8,"S","")</f>
        <v/>
      </c>
      <c r="K112" s="153" t="str">
        <f aca="false">IF(Species!$G112&lt;=Species!$H112,IF(AND(9&gt;=Species!$G112,9&lt;=Species!$H112),"H",""),IF(OR(9&gt;=Species!$G112,9&lt;=Species!$H112),"H",""))&amp;IF(Species!$I112=9,"S","")</f>
        <v>H</v>
      </c>
      <c r="L112" s="153" t="str">
        <f aca="false">IF(Species!$G112&lt;=Species!$H112,IF(AND(10&gt;=Species!$G112,10&lt;=Species!$H112),"H",""),IF(OR(10&gt;=Species!$G112,10&lt;=Species!$H112),"H",""))&amp;IF(Species!$I112=10,"S","")</f>
        <v>H</v>
      </c>
      <c r="M112" s="153" t="str">
        <f aca="false">IF(Species!$G112&lt;=Species!$H112,IF(AND(11&gt;=Species!$G112,11&lt;=Species!$H112),"H",""),IF(OR(11&gt;=Species!$G112,11&lt;=Species!$H112),"H",""))&amp;IF(Species!$I112=11,"S","")</f>
        <v>H</v>
      </c>
      <c r="N112" s="153" t="str">
        <f aca="false">IF(Species!$G112&lt;=Species!$H112,IF(AND(12&gt;=Species!$G112,12&lt;=Species!$H112),"H",""),IF(OR(12&gt;=Species!$G112,12&lt;=Species!$H112),"H",""))&amp;IF(Species!$I112=12,"S","")</f>
        <v/>
      </c>
    </row>
    <row r="113" customFormat="false" ht="15" hidden="false" customHeight="false" outlineLevel="0" collapsed="false">
      <c r="A113" s="6" t="str">
        <f aca="false">Species!B113</f>
        <v>Shooting Star</v>
      </c>
      <c r="B113" s="6" t="str">
        <f aca="false">Species!F113</f>
        <v>Flower</v>
      </c>
      <c r="C113" s="153" t="str">
        <f aca="false">IF(Species!$G113&lt;=Species!$H113,IF(AND(1&gt;=Species!$G113,1&lt;=Species!$H113),"H",""),IF(OR(1&gt;=Species!$G113,1&lt;=Species!$H113),"H",""))&amp;IF(Species!$I113=1,"S","")</f>
        <v/>
      </c>
      <c r="D113" s="153" t="str">
        <f aca="false">IF(Species!$G113&lt;=Species!$H113,IF(AND(2&gt;=Species!$G113,2&lt;=Species!$H113),"H",""),IF(OR(2&gt;=Species!$G113,2&lt;=Species!$H113),"H",""))&amp;IF(Species!$I113=2,"S","")</f>
        <v/>
      </c>
      <c r="E113" s="153" t="str">
        <f aca="false">IF(Species!$G113&lt;=Species!$H113,IF(AND(3&gt;=Species!$G113,3&lt;=Species!$H113),"H",""),IF(OR(3&gt;=Species!$G113,3&lt;=Species!$H113),"H",""))&amp;IF(Species!$I113=3,"S","")</f>
        <v/>
      </c>
      <c r="F113" s="153" t="str">
        <f aca="false">IF(Species!$G113&lt;=Species!$H113,IF(AND(4&gt;=Species!$G113,4&lt;=Species!$H113),"H",""),IF(OR(4&gt;=Species!$G113,4&lt;=Species!$H113),"H",""))&amp;IF(Species!$I113=4,"S","")</f>
        <v>H</v>
      </c>
      <c r="G113" s="153" t="str">
        <f aca="false">IF(Species!$G113&lt;=Species!$H113,IF(AND(5&gt;=Species!$G113,5&lt;=Species!$H113),"H",""),IF(OR(5&gt;=Species!$G113,5&lt;=Species!$H113),"H",""))&amp;IF(Species!$I113=5,"S","")</f>
        <v>H</v>
      </c>
      <c r="H113" s="153" t="str">
        <f aca="false">IF(Species!$G113&lt;=Species!$H113,IF(AND(6&gt;=Species!$G113,6&lt;=Species!$H113),"H",""),IF(OR(6&gt;=Species!$G113,6&lt;=Species!$H113),"H",""))&amp;IF(Species!$I113=6,"S","")</f>
        <v>S</v>
      </c>
      <c r="I113" s="153" t="str">
        <f aca="false">IF(Species!$G113&lt;=Species!$H113,IF(AND(7&gt;=Species!$G113,7&lt;=Species!$H113),"H",""),IF(OR(7&gt;=Species!$G113,7&lt;=Species!$H113),"H",""))&amp;IF(Species!$I113=7,"S","")</f>
        <v/>
      </c>
      <c r="J113" s="153" t="str">
        <f aca="false">IF(Species!$G113&lt;=Species!$H113,IF(AND(8&gt;=Species!$G113,8&lt;=Species!$H113),"H",""),IF(OR(8&gt;=Species!$G113,8&lt;=Species!$H113),"H",""))&amp;IF(Species!$I113=8,"S","")</f>
        <v/>
      </c>
      <c r="K113" s="153" t="str">
        <f aca="false">IF(Species!$G113&lt;=Species!$H113,IF(AND(9&gt;=Species!$G113,9&lt;=Species!$H113),"H",""),IF(OR(9&gt;=Species!$G113,9&lt;=Species!$H113),"H",""))&amp;IF(Species!$I113=9,"S","")</f>
        <v/>
      </c>
      <c r="L113" s="153" t="str">
        <f aca="false">IF(Species!$G113&lt;=Species!$H113,IF(AND(10&gt;=Species!$G113,10&lt;=Species!$H113),"H",""),IF(OR(10&gt;=Species!$G113,10&lt;=Species!$H113),"H",""))&amp;IF(Species!$I113=10,"S","")</f>
        <v/>
      </c>
      <c r="M113" s="153" t="str">
        <f aca="false">IF(Species!$G113&lt;=Species!$H113,IF(AND(11&gt;=Species!$G113,11&lt;=Species!$H113),"H",""),IF(OR(11&gt;=Species!$G113,11&lt;=Species!$H113),"H",""))&amp;IF(Species!$I113=11,"S","")</f>
        <v/>
      </c>
      <c r="N113" s="153" t="str">
        <f aca="false">IF(Species!$G113&lt;=Species!$H113,IF(AND(12&gt;=Species!$G113,12&lt;=Species!$H113),"H",""),IF(OR(12&gt;=Species!$G113,12&lt;=Species!$H113),"H",""))&amp;IF(Species!$I113=12,"S","")</f>
        <v/>
      </c>
    </row>
    <row r="114" customFormat="false" ht="15" hidden="false" customHeight="false" outlineLevel="0" collapsed="false">
      <c r="A114" s="6" t="str">
        <f aca="false">Species!B114</f>
        <v>Little Bluestem</v>
      </c>
      <c r="B114" s="6" t="str">
        <f aca="false">Species!F114</f>
        <v>Whole</v>
      </c>
      <c r="C114" s="153" t="str">
        <f aca="false">IF(Species!$G114&lt;=Species!$H114,IF(AND(1&gt;=Species!$G114,1&lt;=Species!$H114),"H",""),IF(OR(1&gt;=Species!$G114,1&lt;=Species!$H114),"H",""))&amp;IF(Species!$I114=1,"S","")</f>
        <v/>
      </c>
      <c r="D114" s="153" t="str">
        <f aca="false">IF(Species!$G114&lt;=Species!$H114,IF(AND(2&gt;=Species!$G114,2&lt;=Species!$H114),"H",""),IF(OR(2&gt;=Species!$G114,2&lt;=Species!$H114),"H",""))&amp;IF(Species!$I114=2,"S","")</f>
        <v/>
      </c>
      <c r="E114" s="153" t="str">
        <f aca="false">IF(Species!$G114&lt;=Species!$H114,IF(AND(3&gt;=Species!$G114,3&lt;=Species!$H114),"H",""),IF(OR(3&gt;=Species!$G114,3&lt;=Species!$H114),"H",""))&amp;IF(Species!$I114=3,"S","")</f>
        <v/>
      </c>
      <c r="F114" s="153" t="str">
        <f aca="false">IF(Species!$G114&lt;=Species!$H114,IF(AND(4&gt;=Species!$G114,4&lt;=Species!$H114),"H",""),IF(OR(4&gt;=Species!$G114,4&lt;=Species!$H114),"H",""))&amp;IF(Species!$I114=4,"S","")</f>
        <v/>
      </c>
      <c r="G114" s="153" t="str">
        <f aca="false">IF(Species!$G114&lt;=Species!$H114,IF(AND(5&gt;=Species!$G114,5&lt;=Species!$H114),"H",""),IF(OR(5&gt;=Species!$G114,5&lt;=Species!$H114),"H",""))&amp;IF(Species!$I114=5,"S","")</f>
        <v/>
      </c>
      <c r="H114" s="153" t="str">
        <f aca="false">IF(Species!$G114&lt;=Species!$H114,IF(AND(6&gt;=Species!$G114,6&lt;=Species!$H114),"H",""),IF(OR(6&gt;=Species!$G114,6&lt;=Species!$H114),"H",""))&amp;IF(Species!$I114=6,"S","")</f>
        <v/>
      </c>
      <c r="I114" s="153" t="str">
        <f aca="false">IF(Species!$G114&lt;=Species!$H114,IF(AND(7&gt;=Species!$G114,7&lt;=Species!$H114),"H",""),IF(OR(7&gt;=Species!$G114,7&lt;=Species!$H114),"H",""))&amp;IF(Species!$I114=7,"S","")</f>
        <v/>
      </c>
      <c r="J114" s="153" t="str">
        <f aca="false">IF(Species!$G114&lt;=Species!$H114,IF(AND(8&gt;=Species!$G114,8&lt;=Species!$H114),"H",""),IF(OR(8&gt;=Species!$G114,8&lt;=Species!$H114),"H",""))&amp;IF(Species!$I114=8,"S","")</f>
        <v/>
      </c>
      <c r="K114" s="153" t="str">
        <f aca="false">IF(Species!$G114&lt;=Species!$H114,IF(AND(9&gt;=Species!$G114,9&lt;=Species!$H114),"H",""),IF(OR(9&gt;=Species!$G114,9&lt;=Species!$H114),"H",""))&amp;IF(Species!$I114=9,"S","")</f>
        <v>H</v>
      </c>
      <c r="L114" s="153" t="str">
        <f aca="false">IF(Species!$G114&lt;=Species!$H114,IF(AND(10&gt;=Species!$G114,10&lt;=Species!$H114),"H",""),IF(OR(10&gt;=Species!$G114,10&lt;=Species!$H114),"H",""))&amp;IF(Species!$I114=10,"S","")</f>
        <v>HS</v>
      </c>
      <c r="M114" s="153" t="str">
        <f aca="false">IF(Species!$G114&lt;=Species!$H114,IF(AND(11&gt;=Species!$G114,11&lt;=Species!$H114),"H",""),IF(OR(11&gt;=Species!$G114,11&lt;=Species!$H114),"H",""))&amp;IF(Species!$I114=11,"S","")</f>
        <v>H</v>
      </c>
      <c r="N114" s="153" t="str">
        <f aca="false">IF(Species!$G114&lt;=Species!$H114,IF(AND(12&gt;=Species!$G114,12&lt;=Species!$H114),"H",""),IF(OR(12&gt;=Species!$G114,12&lt;=Species!$H114),"H",""))&amp;IF(Species!$I114=12,"S","")</f>
        <v/>
      </c>
    </row>
    <row r="115" customFormat="false" ht="15" hidden="false" customHeight="false" outlineLevel="0" collapsed="false">
      <c r="A115" s="6" t="str">
        <f aca="false">Species!B115</f>
        <v>Big Bluestem</v>
      </c>
      <c r="B115" s="6" t="str">
        <f aca="false">Species!F115</f>
        <v>Whole</v>
      </c>
      <c r="C115" s="153" t="str">
        <f aca="false">IF(Species!$G115&lt;=Species!$H115,IF(AND(1&gt;=Species!$G115,1&lt;=Species!$H115),"H",""),IF(OR(1&gt;=Species!$G115,1&lt;=Species!$H115),"H",""))&amp;IF(Species!$I115=1,"S","")</f>
        <v/>
      </c>
      <c r="D115" s="153" t="str">
        <f aca="false">IF(Species!$G115&lt;=Species!$H115,IF(AND(2&gt;=Species!$G115,2&lt;=Species!$H115),"H",""),IF(OR(2&gt;=Species!$G115,2&lt;=Species!$H115),"H",""))&amp;IF(Species!$I115=2,"S","")</f>
        <v/>
      </c>
      <c r="E115" s="153" t="str">
        <f aca="false">IF(Species!$G115&lt;=Species!$H115,IF(AND(3&gt;=Species!$G115,3&lt;=Species!$H115),"H",""),IF(OR(3&gt;=Species!$G115,3&lt;=Species!$H115),"H",""))&amp;IF(Species!$I115=3,"S","")</f>
        <v/>
      </c>
      <c r="F115" s="153" t="str">
        <f aca="false">IF(Species!$G115&lt;=Species!$H115,IF(AND(4&gt;=Species!$G115,4&lt;=Species!$H115),"H",""),IF(OR(4&gt;=Species!$G115,4&lt;=Species!$H115),"H",""))&amp;IF(Species!$I115=4,"S","")</f>
        <v/>
      </c>
      <c r="G115" s="153" t="str">
        <f aca="false">IF(Species!$G115&lt;=Species!$H115,IF(AND(5&gt;=Species!$G115,5&lt;=Species!$H115),"H",""),IF(OR(5&gt;=Species!$G115,5&lt;=Species!$H115),"H",""))&amp;IF(Species!$I115=5,"S","")</f>
        <v/>
      </c>
      <c r="H115" s="153" t="str">
        <f aca="false">IF(Species!$G115&lt;=Species!$H115,IF(AND(6&gt;=Species!$G115,6&lt;=Species!$H115),"H",""),IF(OR(6&gt;=Species!$G115,6&lt;=Species!$H115),"H",""))&amp;IF(Species!$I115=6,"S","")</f>
        <v/>
      </c>
      <c r="I115" s="153" t="str">
        <f aca="false">IF(Species!$G115&lt;=Species!$H115,IF(AND(7&gt;=Species!$G115,7&lt;=Species!$H115),"H",""),IF(OR(7&gt;=Species!$G115,7&lt;=Species!$H115),"H",""))&amp;IF(Species!$I115=7,"S","")</f>
        <v/>
      </c>
      <c r="J115" s="153" t="str">
        <f aca="false">IF(Species!$G115&lt;=Species!$H115,IF(AND(8&gt;=Species!$G115,8&lt;=Species!$H115),"H",""),IF(OR(8&gt;=Species!$G115,8&lt;=Species!$H115),"H",""))&amp;IF(Species!$I115=8,"S","")</f>
        <v/>
      </c>
      <c r="K115" s="153" t="str">
        <f aca="false">IF(Species!$G115&lt;=Species!$H115,IF(AND(9&gt;=Species!$G115,9&lt;=Species!$H115),"H",""),IF(OR(9&gt;=Species!$G115,9&lt;=Species!$H115),"H",""))&amp;IF(Species!$I115=9,"S","")</f>
        <v>H</v>
      </c>
      <c r="L115" s="153" t="str">
        <f aca="false">IF(Species!$G115&lt;=Species!$H115,IF(AND(10&gt;=Species!$G115,10&lt;=Species!$H115),"H",""),IF(OR(10&gt;=Species!$G115,10&lt;=Species!$H115),"H",""))&amp;IF(Species!$I115=10,"S","")</f>
        <v>HS</v>
      </c>
      <c r="M115" s="153" t="str">
        <f aca="false">IF(Species!$G115&lt;=Species!$H115,IF(AND(11&gt;=Species!$G115,11&lt;=Species!$H115),"H",""),IF(OR(11&gt;=Species!$G115,11&lt;=Species!$H115),"H",""))&amp;IF(Species!$I115=11,"S","")</f>
        <v>H</v>
      </c>
      <c r="N115" s="153" t="str">
        <f aca="false">IF(Species!$G115&lt;=Species!$H115,IF(AND(12&gt;=Species!$G115,12&lt;=Species!$H115),"H",""),IF(OR(12&gt;=Species!$G115,12&lt;=Species!$H115),"H",""))&amp;IF(Species!$I115=12,"S","")</f>
        <v/>
      </c>
    </row>
    <row r="116" customFormat="false" ht="15" hidden="false" customHeight="false" outlineLevel="0" collapsed="false">
      <c r="A116" s="6" t="str">
        <f aca="false">Species!B116</f>
        <v>Switchgrass</v>
      </c>
      <c r="B116" s="6" t="str">
        <f aca="false">Species!F116</f>
        <v>Seed</v>
      </c>
      <c r="C116" s="153" t="str">
        <f aca="false">IF(Species!$G116&lt;=Species!$H116,IF(AND(1&gt;=Species!$G116,1&lt;=Species!$H116),"H",""),IF(OR(1&gt;=Species!$G116,1&lt;=Species!$H116),"H",""))&amp;IF(Species!$I116=1,"S","")</f>
        <v/>
      </c>
      <c r="D116" s="153" t="str">
        <f aca="false">IF(Species!$G116&lt;=Species!$H116,IF(AND(2&gt;=Species!$G116,2&lt;=Species!$H116),"H",""),IF(OR(2&gt;=Species!$G116,2&lt;=Species!$H116),"H",""))&amp;IF(Species!$I116=2,"S","")</f>
        <v/>
      </c>
      <c r="E116" s="153" t="str">
        <f aca="false">IF(Species!$G116&lt;=Species!$H116,IF(AND(3&gt;=Species!$G116,3&lt;=Species!$H116),"H",""),IF(OR(3&gt;=Species!$G116,3&lt;=Species!$H116),"H",""))&amp;IF(Species!$I116=3,"S","")</f>
        <v/>
      </c>
      <c r="F116" s="153" t="str">
        <f aca="false">IF(Species!$G116&lt;=Species!$H116,IF(AND(4&gt;=Species!$G116,4&lt;=Species!$H116),"H",""),IF(OR(4&gt;=Species!$G116,4&lt;=Species!$H116),"H",""))&amp;IF(Species!$I116=4,"S","")</f>
        <v/>
      </c>
      <c r="G116" s="153" t="str">
        <f aca="false">IF(Species!$G116&lt;=Species!$H116,IF(AND(5&gt;=Species!$G116,5&lt;=Species!$H116),"H",""),IF(OR(5&gt;=Species!$G116,5&lt;=Species!$H116),"H",""))&amp;IF(Species!$I116=5,"S","")</f>
        <v/>
      </c>
      <c r="H116" s="153" t="str">
        <f aca="false">IF(Species!$G116&lt;=Species!$H116,IF(AND(6&gt;=Species!$G116,6&lt;=Species!$H116),"H",""),IF(OR(6&gt;=Species!$G116,6&lt;=Species!$H116),"H",""))&amp;IF(Species!$I116=6,"S","")</f>
        <v/>
      </c>
      <c r="I116" s="153" t="str">
        <f aca="false">IF(Species!$G116&lt;=Species!$H116,IF(AND(7&gt;=Species!$G116,7&lt;=Species!$H116),"H",""),IF(OR(7&gt;=Species!$G116,7&lt;=Species!$H116),"H",""))&amp;IF(Species!$I116=7,"S","")</f>
        <v/>
      </c>
      <c r="J116" s="153" t="str">
        <f aca="false">IF(Species!$G116&lt;=Species!$H116,IF(AND(8&gt;=Species!$G116,8&lt;=Species!$H116),"H",""),IF(OR(8&gt;=Species!$G116,8&lt;=Species!$H116),"H",""))&amp;IF(Species!$I116=8,"S","")</f>
        <v/>
      </c>
      <c r="K116" s="153" t="str">
        <f aca="false">IF(Species!$G116&lt;=Species!$H116,IF(AND(9&gt;=Species!$G116,9&lt;=Species!$H116),"H",""),IF(OR(9&gt;=Species!$G116,9&lt;=Species!$H116),"H",""))&amp;IF(Species!$I116=9,"S","")</f>
        <v>H</v>
      </c>
      <c r="L116" s="153" t="str">
        <f aca="false">IF(Species!$G116&lt;=Species!$H116,IF(AND(10&gt;=Species!$G116,10&lt;=Species!$H116),"H",""),IF(OR(10&gt;=Species!$G116,10&lt;=Species!$H116),"H",""))&amp;IF(Species!$I116=10,"S","")</f>
        <v>H</v>
      </c>
      <c r="M116" s="153" t="str">
        <f aca="false">IF(Species!$G116&lt;=Species!$H116,IF(AND(11&gt;=Species!$G116,11&lt;=Species!$H116),"H",""),IF(OR(11&gt;=Species!$G116,11&lt;=Species!$H116),"H",""))&amp;IF(Species!$I116=11,"S","")</f>
        <v/>
      </c>
      <c r="N116" s="153" t="str">
        <f aca="false">IF(Species!$G116&lt;=Species!$H116,IF(AND(12&gt;=Species!$G116,12&lt;=Species!$H116),"H",""),IF(OR(12&gt;=Species!$G116,12&lt;=Species!$H116),"H",""))&amp;IF(Species!$I116=12,"S","")</f>
        <v/>
      </c>
    </row>
    <row r="117" customFormat="false" ht="15" hidden="false" customHeight="false" outlineLevel="0" collapsed="false">
      <c r="A117" s="6" t="str">
        <f aca="false">Species!B117</f>
        <v>Compass Plant</v>
      </c>
      <c r="B117" s="6" t="str">
        <f aca="false">Species!F117</f>
        <v>Resin</v>
      </c>
      <c r="C117" s="153" t="str">
        <f aca="false">IF(Species!$G117&lt;=Species!$H117,IF(AND(1&gt;=Species!$G117,1&lt;=Species!$H117),"H",""),IF(OR(1&gt;=Species!$G117,1&lt;=Species!$H117),"H",""))&amp;IF(Species!$I117=1,"S","")</f>
        <v/>
      </c>
      <c r="D117" s="153" t="str">
        <f aca="false">IF(Species!$G117&lt;=Species!$H117,IF(AND(2&gt;=Species!$G117,2&lt;=Species!$H117),"H",""),IF(OR(2&gt;=Species!$G117,2&lt;=Species!$H117),"H",""))&amp;IF(Species!$I117=2,"S","")</f>
        <v/>
      </c>
      <c r="E117" s="153" t="str">
        <f aca="false">IF(Species!$G117&lt;=Species!$H117,IF(AND(3&gt;=Species!$G117,3&lt;=Species!$H117),"H",""),IF(OR(3&gt;=Species!$G117,3&lt;=Species!$H117),"H",""))&amp;IF(Species!$I117=3,"S","")</f>
        <v/>
      </c>
      <c r="F117" s="153" t="str">
        <f aca="false">IF(Species!$G117&lt;=Species!$H117,IF(AND(4&gt;=Species!$G117,4&lt;=Species!$H117),"H",""),IF(OR(4&gt;=Species!$G117,4&lt;=Species!$H117),"H",""))&amp;IF(Species!$I117=4,"S","")</f>
        <v/>
      </c>
      <c r="G117" s="153" t="str">
        <f aca="false">IF(Species!$G117&lt;=Species!$H117,IF(AND(5&gt;=Species!$G117,5&lt;=Species!$H117),"H",""),IF(OR(5&gt;=Species!$G117,5&lt;=Species!$H117),"H",""))&amp;IF(Species!$I117=5,"S","")</f>
        <v/>
      </c>
      <c r="H117" s="153" t="str">
        <f aca="false">IF(Species!$G117&lt;=Species!$H117,IF(AND(6&gt;=Species!$G117,6&lt;=Species!$H117),"H",""),IF(OR(6&gt;=Species!$G117,6&lt;=Species!$H117),"H",""))&amp;IF(Species!$I117=6,"S","")</f>
        <v/>
      </c>
      <c r="I117" s="153" t="str">
        <f aca="false">IF(Species!$G117&lt;=Species!$H117,IF(AND(7&gt;=Species!$G117,7&lt;=Species!$H117),"H",""),IF(OR(7&gt;=Species!$G117,7&lt;=Species!$H117),"H",""))&amp;IF(Species!$I117=7,"S","")</f>
        <v>H</v>
      </c>
      <c r="J117" s="153" t="str">
        <f aca="false">IF(Species!$G117&lt;=Species!$H117,IF(AND(8&gt;=Species!$G117,8&lt;=Species!$H117),"H",""),IF(OR(8&gt;=Species!$G117,8&lt;=Species!$H117),"H",""))&amp;IF(Species!$I117=8,"S","")</f>
        <v>H</v>
      </c>
      <c r="K117" s="153" t="str">
        <f aca="false">IF(Species!$G117&lt;=Species!$H117,IF(AND(9&gt;=Species!$G117,9&lt;=Species!$H117),"H",""),IF(OR(9&gt;=Species!$G117,9&lt;=Species!$H117),"H",""))&amp;IF(Species!$I117=9,"S","")</f>
        <v>H</v>
      </c>
      <c r="L117" s="153" t="str">
        <f aca="false">IF(Species!$G117&lt;=Species!$H117,IF(AND(10&gt;=Species!$G117,10&lt;=Species!$H117),"H",""),IF(OR(10&gt;=Species!$G117,10&lt;=Species!$H117),"H",""))&amp;IF(Species!$I117=10,"S","")</f>
        <v>S</v>
      </c>
      <c r="M117" s="153" t="str">
        <f aca="false">IF(Species!$G117&lt;=Species!$H117,IF(AND(11&gt;=Species!$G117,11&lt;=Species!$H117),"H",""),IF(OR(11&gt;=Species!$G117,11&lt;=Species!$H117),"H",""))&amp;IF(Species!$I117=11,"S","")</f>
        <v/>
      </c>
      <c r="N117" s="153" t="str">
        <f aca="false">IF(Species!$G117&lt;=Species!$H117,IF(AND(12&gt;=Species!$G117,12&lt;=Species!$H117),"H",""),IF(OR(12&gt;=Species!$G117,12&lt;=Species!$H117),"H",""))&amp;IF(Species!$I117=12,"S","")</f>
        <v/>
      </c>
    </row>
    <row r="118" customFormat="false" ht="15" hidden="false" customHeight="false" outlineLevel="0" collapsed="false">
      <c r="A118" s="6" t="str">
        <f aca="false">Species!B118</f>
        <v>Prairie Dock</v>
      </c>
      <c r="B118" s="6" t="str">
        <f aca="false">Species!F118</f>
        <v>Root</v>
      </c>
      <c r="C118" s="153" t="str">
        <f aca="false">IF(Species!$G118&lt;=Species!$H118,IF(AND(1&gt;=Species!$G118,1&lt;=Species!$H118),"H",""),IF(OR(1&gt;=Species!$G118,1&lt;=Species!$H118),"H",""))&amp;IF(Species!$I118=1,"S","")</f>
        <v/>
      </c>
      <c r="D118" s="153" t="str">
        <f aca="false">IF(Species!$G118&lt;=Species!$H118,IF(AND(2&gt;=Species!$G118,2&lt;=Species!$H118),"H",""),IF(OR(2&gt;=Species!$G118,2&lt;=Species!$H118),"H",""))&amp;IF(Species!$I118=2,"S","")</f>
        <v/>
      </c>
      <c r="E118" s="153" t="str">
        <f aca="false">IF(Species!$G118&lt;=Species!$H118,IF(AND(3&gt;=Species!$G118,3&lt;=Species!$H118),"H",""),IF(OR(3&gt;=Species!$G118,3&lt;=Species!$H118),"H",""))&amp;IF(Species!$I118=3,"S","")</f>
        <v/>
      </c>
      <c r="F118" s="153" t="str">
        <f aca="false">IF(Species!$G118&lt;=Species!$H118,IF(AND(4&gt;=Species!$G118,4&lt;=Species!$H118),"H",""),IF(OR(4&gt;=Species!$G118,4&lt;=Species!$H118),"H",""))&amp;IF(Species!$I118=4,"S","")</f>
        <v/>
      </c>
      <c r="G118" s="153" t="str">
        <f aca="false">IF(Species!$G118&lt;=Species!$H118,IF(AND(5&gt;=Species!$G118,5&lt;=Species!$H118),"H",""),IF(OR(5&gt;=Species!$G118,5&lt;=Species!$H118),"H",""))&amp;IF(Species!$I118=5,"S","")</f>
        <v/>
      </c>
      <c r="H118" s="153" t="str">
        <f aca="false">IF(Species!$G118&lt;=Species!$H118,IF(AND(6&gt;=Species!$G118,6&lt;=Species!$H118),"H",""),IF(OR(6&gt;=Species!$G118,6&lt;=Species!$H118),"H",""))&amp;IF(Species!$I118=6,"S","")</f>
        <v/>
      </c>
      <c r="I118" s="153" t="str">
        <f aca="false">IF(Species!$G118&lt;=Species!$H118,IF(AND(7&gt;=Species!$G118,7&lt;=Species!$H118),"H",""),IF(OR(7&gt;=Species!$G118,7&lt;=Species!$H118),"H",""))&amp;IF(Species!$I118=7,"S","")</f>
        <v/>
      </c>
      <c r="J118" s="153" t="str">
        <f aca="false">IF(Species!$G118&lt;=Species!$H118,IF(AND(8&gt;=Species!$G118,8&lt;=Species!$H118),"H",""),IF(OR(8&gt;=Species!$G118,8&lt;=Species!$H118),"H",""))&amp;IF(Species!$I118=8,"S","")</f>
        <v/>
      </c>
      <c r="K118" s="153" t="str">
        <f aca="false">IF(Species!$G118&lt;=Species!$H118,IF(AND(9&gt;=Species!$G118,9&lt;=Species!$H118),"H",""),IF(OR(9&gt;=Species!$G118,9&lt;=Species!$H118),"H",""))&amp;IF(Species!$I118=9,"S","")</f>
        <v>H</v>
      </c>
      <c r="L118" s="153" t="str">
        <f aca="false">IF(Species!$G118&lt;=Species!$H118,IF(AND(10&gt;=Species!$G118,10&lt;=Species!$H118),"H",""),IF(OR(10&gt;=Species!$G118,10&lt;=Species!$H118),"H",""))&amp;IF(Species!$I118=10,"S","")</f>
        <v>HS</v>
      </c>
      <c r="M118" s="153" t="str">
        <f aca="false">IF(Species!$G118&lt;=Species!$H118,IF(AND(11&gt;=Species!$G118,11&lt;=Species!$H118),"H",""),IF(OR(11&gt;=Species!$G118,11&lt;=Species!$H118),"H",""))&amp;IF(Species!$I118=11,"S","")</f>
        <v/>
      </c>
      <c r="N118" s="153" t="str">
        <f aca="false">IF(Species!$G118&lt;=Species!$H118,IF(AND(12&gt;=Species!$G118,12&lt;=Species!$H118),"H",""),IF(OR(12&gt;=Species!$G118,12&lt;=Species!$H118),"H",""))&amp;IF(Species!$I118=12,"S","")</f>
        <v/>
      </c>
    </row>
    <row r="119" customFormat="false" ht="15" hidden="false" customHeight="false" outlineLevel="0" collapsed="false">
      <c r="A119" s="6" t="str">
        <f aca="false">Species!B119</f>
        <v>Rattlesnake Master</v>
      </c>
      <c r="B119" s="6" t="str">
        <f aca="false">Species!F119</f>
        <v>Root</v>
      </c>
      <c r="C119" s="153" t="str">
        <f aca="false">IF(Species!$G119&lt;=Species!$H119,IF(AND(1&gt;=Species!$G119,1&lt;=Species!$H119),"H",""),IF(OR(1&gt;=Species!$G119,1&lt;=Species!$H119),"H",""))&amp;IF(Species!$I119=1,"S","")</f>
        <v/>
      </c>
      <c r="D119" s="153" t="str">
        <f aca="false">IF(Species!$G119&lt;=Species!$H119,IF(AND(2&gt;=Species!$G119,2&lt;=Species!$H119),"H",""),IF(OR(2&gt;=Species!$G119,2&lt;=Species!$H119),"H",""))&amp;IF(Species!$I119=2,"S","")</f>
        <v/>
      </c>
      <c r="E119" s="153" t="str">
        <f aca="false">IF(Species!$G119&lt;=Species!$H119,IF(AND(3&gt;=Species!$G119,3&lt;=Species!$H119),"H",""),IF(OR(3&gt;=Species!$G119,3&lt;=Species!$H119),"H",""))&amp;IF(Species!$I119=3,"S","")</f>
        <v/>
      </c>
      <c r="F119" s="153" t="str">
        <f aca="false">IF(Species!$G119&lt;=Species!$H119,IF(AND(4&gt;=Species!$G119,4&lt;=Species!$H119),"H",""),IF(OR(4&gt;=Species!$G119,4&lt;=Species!$H119),"H",""))&amp;IF(Species!$I119=4,"S","")</f>
        <v/>
      </c>
      <c r="G119" s="153" t="str">
        <f aca="false">IF(Species!$G119&lt;=Species!$H119,IF(AND(5&gt;=Species!$G119,5&lt;=Species!$H119),"H",""),IF(OR(5&gt;=Species!$G119,5&lt;=Species!$H119),"H",""))&amp;IF(Species!$I119=5,"S","")</f>
        <v/>
      </c>
      <c r="H119" s="153" t="str">
        <f aca="false">IF(Species!$G119&lt;=Species!$H119,IF(AND(6&gt;=Species!$G119,6&lt;=Species!$H119),"H",""),IF(OR(6&gt;=Species!$G119,6&lt;=Species!$H119),"H",""))&amp;IF(Species!$I119=6,"S","")</f>
        <v/>
      </c>
      <c r="I119" s="153" t="str">
        <f aca="false">IF(Species!$G119&lt;=Species!$H119,IF(AND(7&gt;=Species!$G119,7&lt;=Species!$H119),"H",""),IF(OR(7&gt;=Species!$G119,7&lt;=Species!$H119),"H",""))&amp;IF(Species!$I119=7,"S","")</f>
        <v/>
      </c>
      <c r="J119" s="153" t="str">
        <f aca="false">IF(Species!$G119&lt;=Species!$H119,IF(AND(8&gt;=Species!$G119,8&lt;=Species!$H119),"H",""),IF(OR(8&gt;=Species!$G119,8&lt;=Species!$H119),"H",""))&amp;IF(Species!$I119=8,"S","")</f>
        <v/>
      </c>
      <c r="K119" s="153" t="str">
        <f aca="false">IF(Species!$G119&lt;=Species!$H119,IF(AND(9&gt;=Species!$G119,9&lt;=Species!$H119),"H",""),IF(OR(9&gt;=Species!$G119,9&lt;=Species!$H119),"H",""))&amp;IF(Species!$I119=9,"S","")</f>
        <v>H</v>
      </c>
      <c r="L119" s="153" t="str">
        <f aca="false">IF(Species!$G119&lt;=Species!$H119,IF(AND(10&gt;=Species!$G119,10&lt;=Species!$H119),"H",""),IF(OR(10&gt;=Species!$G119,10&lt;=Species!$H119),"H",""))&amp;IF(Species!$I119=10,"S","")</f>
        <v>HS</v>
      </c>
      <c r="M119" s="153" t="str">
        <f aca="false">IF(Species!$G119&lt;=Species!$H119,IF(AND(11&gt;=Species!$G119,11&lt;=Species!$H119),"H",""),IF(OR(11&gt;=Species!$G119,11&lt;=Species!$H119),"H",""))&amp;IF(Species!$I119=11,"S","")</f>
        <v/>
      </c>
      <c r="N119" s="153" t="str">
        <f aca="false">IF(Species!$G119&lt;=Species!$H119,IF(AND(12&gt;=Species!$G119,12&lt;=Species!$H119),"H",""),IF(OR(12&gt;=Species!$G119,12&lt;=Species!$H119),"H",""))&amp;IF(Species!$I119=12,"S","")</f>
        <v/>
      </c>
    </row>
    <row r="120" customFormat="false" ht="15" hidden="false" customHeight="false" outlineLevel="0" collapsed="false">
      <c r="A120" s="6" t="str">
        <f aca="false">Species!B120</f>
        <v>Lead Plant</v>
      </c>
      <c r="B120" s="6" t="str">
        <f aca="false">Species!F120</f>
        <v>Leaf</v>
      </c>
      <c r="C120" s="153" t="str">
        <f aca="false">IF(Species!$G120&lt;=Species!$H120,IF(AND(1&gt;=Species!$G120,1&lt;=Species!$H120),"H",""),IF(OR(1&gt;=Species!$G120,1&lt;=Species!$H120),"H",""))&amp;IF(Species!$I120=1,"S","")</f>
        <v/>
      </c>
      <c r="D120" s="153" t="str">
        <f aca="false">IF(Species!$G120&lt;=Species!$H120,IF(AND(2&gt;=Species!$G120,2&lt;=Species!$H120),"H",""),IF(OR(2&gt;=Species!$G120,2&lt;=Species!$H120),"H",""))&amp;IF(Species!$I120=2,"S","")</f>
        <v/>
      </c>
      <c r="E120" s="153" t="str">
        <f aca="false">IF(Species!$G120&lt;=Species!$H120,IF(AND(3&gt;=Species!$G120,3&lt;=Species!$H120),"H",""),IF(OR(3&gt;=Species!$G120,3&lt;=Species!$H120),"H",""))&amp;IF(Species!$I120=3,"S","")</f>
        <v/>
      </c>
      <c r="F120" s="153" t="str">
        <f aca="false">IF(Species!$G120&lt;=Species!$H120,IF(AND(4&gt;=Species!$G120,4&lt;=Species!$H120),"H",""),IF(OR(4&gt;=Species!$G120,4&lt;=Species!$H120),"H",""))&amp;IF(Species!$I120=4,"S","")</f>
        <v/>
      </c>
      <c r="G120" s="153" t="str">
        <f aca="false">IF(Species!$G120&lt;=Species!$H120,IF(AND(5&gt;=Species!$G120,5&lt;=Species!$H120),"H",""),IF(OR(5&gt;=Species!$G120,5&lt;=Species!$H120),"H",""))&amp;IF(Species!$I120=5,"S","")</f>
        <v/>
      </c>
      <c r="H120" s="153" t="str">
        <f aca="false">IF(Species!$G120&lt;=Species!$H120,IF(AND(6&gt;=Species!$G120,6&lt;=Species!$H120),"H",""),IF(OR(6&gt;=Species!$G120,6&lt;=Species!$H120),"H",""))&amp;IF(Species!$I120=6,"S","")</f>
        <v/>
      </c>
      <c r="I120" s="153" t="str">
        <f aca="false">IF(Species!$G120&lt;=Species!$H120,IF(AND(7&gt;=Species!$G120,7&lt;=Species!$H120),"H",""),IF(OR(7&gt;=Species!$G120,7&lt;=Species!$H120),"H",""))&amp;IF(Species!$I120=7,"S","")</f>
        <v>H</v>
      </c>
      <c r="J120" s="153" t="str">
        <f aca="false">IF(Species!$G120&lt;=Species!$H120,IF(AND(8&gt;=Species!$G120,8&lt;=Species!$H120),"H",""),IF(OR(8&gt;=Species!$G120,8&lt;=Species!$H120),"H",""))&amp;IF(Species!$I120=8,"S","")</f>
        <v>H</v>
      </c>
      <c r="K120" s="153" t="str">
        <f aca="false">IF(Species!$G120&lt;=Species!$H120,IF(AND(9&gt;=Species!$G120,9&lt;=Species!$H120),"H",""),IF(OR(9&gt;=Species!$G120,9&lt;=Species!$H120),"H",""))&amp;IF(Species!$I120=9,"S","")</f>
        <v>H</v>
      </c>
      <c r="L120" s="153" t="str">
        <f aca="false">IF(Species!$G120&lt;=Species!$H120,IF(AND(10&gt;=Species!$G120,10&lt;=Species!$H120),"H",""),IF(OR(10&gt;=Species!$G120,10&lt;=Species!$H120),"H",""))&amp;IF(Species!$I120=10,"S","")</f>
        <v>S</v>
      </c>
      <c r="M120" s="153" t="str">
        <f aca="false">IF(Species!$G120&lt;=Species!$H120,IF(AND(11&gt;=Species!$G120,11&lt;=Species!$H120),"H",""),IF(OR(11&gt;=Species!$G120,11&lt;=Species!$H120),"H",""))&amp;IF(Species!$I120=11,"S","")</f>
        <v/>
      </c>
      <c r="N120" s="153" t="str">
        <f aca="false">IF(Species!$G120&lt;=Species!$H120,IF(AND(12&gt;=Species!$G120,12&lt;=Species!$H120),"H",""),IF(OR(12&gt;=Species!$G120,12&lt;=Species!$H120),"H",""))&amp;IF(Species!$I120=12,"S","")</f>
        <v/>
      </c>
    </row>
    <row r="121" customFormat="false" ht="15" hidden="false" customHeight="false" outlineLevel="0" collapsed="false">
      <c r="A121" s="6" t="str">
        <f aca="false">Species!B121</f>
        <v>New Jersey Tea</v>
      </c>
      <c r="B121" s="6" t="str">
        <f aca="false">Species!F121</f>
        <v>Root</v>
      </c>
      <c r="C121" s="153" t="str">
        <f aca="false">IF(Species!$G121&lt;=Species!$H121,IF(AND(1&gt;=Species!$G121,1&lt;=Species!$H121),"H",""),IF(OR(1&gt;=Species!$G121,1&lt;=Species!$H121),"H",""))&amp;IF(Species!$I121=1,"S","")</f>
        <v/>
      </c>
      <c r="D121" s="153" t="str">
        <f aca="false">IF(Species!$G121&lt;=Species!$H121,IF(AND(2&gt;=Species!$G121,2&lt;=Species!$H121),"H",""),IF(OR(2&gt;=Species!$G121,2&lt;=Species!$H121),"H",""))&amp;IF(Species!$I121=2,"S","")</f>
        <v/>
      </c>
      <c r="E121" s="153" t="str">
        <f aca="false">IF(Species!$G121&lt;=Species!$H121,IF(AND(3&gt;=Species!$G121,3&lt;=Species!$H121),"H",""),IF(OR(3&gt;=Species!$G121,3&lt;=Species!$H121),"H",""))&amp;IF(Species!$I121=3,"S","")</f>
        <v/>
      </c>
      <c r="F121" s="153" t="str">
        <f aca="false">IF(Species!$G121&lt;=Species!$H121,IF(AND(4&gt;=Species!$G121,4&lt;=Species!$H121),"H",""),IF(OR(4&gt;=Species!$G121,4&lt;=Species!$H121),"H",""))&amp;IF(Species!$I121=4,"S","")</f>
        <v/>
      </c>
      <c r="G121" s="153" t="str">
        <f aca="false">IF(Species!$G121&lt;=Species!$H121,IF(AND(5&gt;=Species!$G121,5&lt;=Species!$H121),"H",""),IF(OR(5&gt;=Species!$G121,5&lt;=Species!$H121),"H",""))&amp;IF(Species!$I121=5,"S","")</f>
        <v/>
      </c>
      <c r="H121" s="153" t="str">
        <f aca="false">IF(Species!$G121&lt;=Species!$H121,IF(AND(6&gt;=Species!$G121,6&lt;=Species!$H121),"H",""),IF(OR(6&gt;=Species!$G121,6&lt;=Species!$H121),"H",""))&amp;IF(Species!$I121=6,"S","")</f>
        <v/>
      </c>
      <c r="I121" s="153" t="str">
        <f aca="false">IF(Species!$G121&lt;=Species!$H121,IF(AND(7&gt;=Species!$G121,7&lt;=Species!$H121),"H",""),IF(OR(7&gt;=Species!$G121,7&lt;=Species!$H121),"H",""))&amp;IF(Species!$I121=7,"S","")</f>
        <v/>
      </c>
      <c r="J121" s="153" t="str">
        <f aca="false">IF(Species!$G121&lt;=Species!$H121,IF(AND(8&gt;=Species!$G121,8&lt;=Species!$H121),"H",""),IF(OR(8&gt;=Species!$G121,8&lt;=Species!$H121),"H",""))&amp;IF(Species!$I121=8,"S","")</f>
        <v/>
      </c>
      <c r="K121" s="153" t="str">
        <f aca="false">IF(Species!$G121&lt;=Species!$H121,IF(AND(9&gt;=Species!$G121,9&lt;=Species!$H121),"H",""),IF(OR(9&gt;=Species!$G121,9&lt;=Species!$H121),"H",""))&amp;IF(Species!$I121=9,"S","")</f>
        <v>S</v>
      </c>
      <c r="L121" s="153" t="str">
        <f aca="false">IF(Species!$G121&lt;=Species!$H121,IF(AND(10&gt;=Species!$G121,10&lt;=Species!$H121),"H",""),IF(OR(10&gt;=Species!$G121,10&lt;=Species!$H121),"H",""))&amp;IF(Species!$I121=10,"S","")</f>
        <v>H</v>
      </c>
      <c r="M121" s="153" t="str">
        <f aca="false">IF(Species!$G121&lt;=Species!$H121,IF(AND(11&gt;=Species!$G121,11&lt;=Species!$H121),"H",""),IF(OR(11&gt;=Species!$G121,11&lt;=Species!$H121),"H",""))&amp;IF(Species!$I121=11,"S","")</f>
        <v>H</v>
      </c>
      <c r="N121" s="153" t="str">
        <f aca="false">IF(Species!$G121&lt;=Species!$H121,IF(AND(12&gt;=Species!$G121,12&lt;=Species!$H121),"H",""),IF(OR(12&gt;=Species!$G121,12&lt;=Species!$H121),"H",""))&amp;IF(Species!$I121=12,"S","")</f>
        <v/>
      </c>
    </row>
    <row r="122" customFormat="false" ht="15" hidden="false" customHeight="false" outlineLevel="0" collapsed="false">
      <c r="A122" s="6" t="str">
        <f aca="false">Species!B122</f>
        <v>Canada Goldenrod</v>
      </c>
      <c r="B122" s="6" t="str">
        <f aca="false">Species!F122</f>
        <v>Flower</v>
      </c>
      <c r="C122" s="153" t="str">
        <f aca="false">IF(Species!$G122&lt;=Species!$H122,IF(AND(1&gt;=Species!$G122,1&lt;=Species!$H122),"H",""),IF(OR(1&gt;=Species!$G122,1&lt;=Species!$H122),"H",""))&amp;IF(Species!$I122=1,"S","")</f>
        <v/>
      </c>
      <c r="D122" s="153" t="str">
        <f aca="false">IF(Species!$G122&lt;=Species!$H122,IF(AND(2&gt;=Species!$G122,2&lt;=Species!$H122),"H",""),IF(OR(2&gt;=Species!$G122,2&lt;=Species!$H122),"H",""))&amp;IF(Species!$I122=2,"S","")</f>
        <v/>
      </c>
      <c r="E122" s="153" t="str">
        <f aca="false">IF(Species!$G122&lt;=Species!$H122,IF(AND(3&gt;=Species!$G122,3&lt;=Species!$H122),"H",""),IF(OR(3&gt;=Species!$G122,3&lt;=Species!$H122),"H",""))&amp;IF(Species!$I122=3,"S","")</f>
        <v/>
      </c>
      <c r="F122" s="153" t="str">
        <f aca="false">IF(Species!$G122&lt;=Species!$H122,IF(AND(4&gt;=Species!$G122,4&lt;=Species!$H122),"H",""),IF(OR(4&gt;=Species!$G122,4&lt;=Species!$H122),"H",""))&amp;IF(Species!$I122=4,"S","")</f>
        <v/>
      </c>
      <c r="G122" s="153" t="str">
        <f aca="false">IF(Species!$G122&lt;=Species!$H122,IF(AND(5&gt;=Species!$G122,5&lt;=Species!$H122),"H",""),IF(OR(5&gt;=Species!$G122,5&lt;=Species!$H122),"H",""))&amp;IF(Species!$I122=5,"S","")</f>
        <v/>
      </c>
      <c r="H122" s="153" t="str">
        <f aca="false">IF(Species!$G122&lt;=Species!$H122,IF(AND(6&gt;=Species!$G122,6&lt;=Species!$H122),"H",""),IF(OR(6&gt;=Species!$G122,6&lt;=Species!$H122),"H",""))&amp;IF(Species!$I122=6,"S","")</f>
        <v/>
      </c>
      <c r="I122" s="153" t="str">
        <f aca="false">IF(Species!$G122&lt;=Species!$H122,IF(AND(7&gt;=Species!$G122,7&lt;=Species!$H122),"H",""),IF(OR(7&gt;=Species!$G122,7&lt;=Species!$H122),"H",""))&amp;IF(Species!$I122=7,"S","")</f>
        <v/>
      </c>
      <c r="J122" s="153" t="str">
        <f aca="false">IF(Species!$G122&lt;=Species!$H122,IF(AND(8&gt;=Species!$G122,8&lt;=Species!$H122),"H",""),IF(OR(8&gt;=Species!$G122,8&lt;=Species!$H122),"H",""))&amp;IF(Species!$I122=8,"S","")</f>
        <v>H</v>
      </c>
      <c r="K122" s="153" t="str">
        <f aca="false">IF(Species!$G122&lt;=Species!$H122,IF(AND(9&gt;=Species!$G122,9&lt;=Species!$H122),"H",""),IF(OR(9&gt;=Species!$G122,9&lt;=Species!$H122),"H",""))&amp;IF(Species!$I122=9,"S","")</f>
        <v>H</v>
      </c>
      <c r="L122" s="153" t="str">
        <f aca="false">IF(Species!$G122&lt;=Species!$H122,IF(AND(10&gt;=Species!$G122,10&lt;=Species!$H122),"H",""),IF(OR(10&gt;=Species!$G122,10&lt;=Species!$H122),"H",""))&amp;IF(Species!$I122=10,"S","")</f>
        <v>HS</v>
      </c>
      <c r="M122" s="153" t="str">
        <f aca="false">IF(Species!$G122&lt;=Species!$H122,IF(AND(11&gt;=Species!$G122,11&lt;=Species!$H122),"H",""),IF(OR(11&gt;=Species!$G122,11&lt;=Species!$H122),"H",""))&amp;IF(Species!$I122=11,"S","")</f>
        <v/>
      </c>
      <c r="N122" s="153" t="str">
        <f aca="false">IF(Species!$G122&lt;=Species!$H122,IF(AND(12&gt;=Species!$G122,12&lt;=Species!$H122),"H",""),IF(OR(12&gt;=Species!$G122,12&lt;=Species!$H122),"H",""))&amp;IF(Species!$I122=12,"S","")</f>
        <v/>
      </c>
    </row>
    <row r="123" customFormat="false" ht="15" hidden="false" customHeight="false" outlineLevel="0" collapsed="false">
      <c r="A123" s="6" t="str">
        <f aca="false">Species!B123</f>
        <v>New England Aster</v>
      </c>
      <c r="B123" s="6" t="str">
        <f aca="false">Species!F123</f>
        <v>Flower</v>
      </c>
      <c r="C123" s="153" t="str">
        <f aca="false">IF(Species!$G123&lt;=Species!$H123,IF(AND(1&gt;=Species!$G123,1&lt;=Species!$H123),"H",""),IF(OR(1&gt;=Species!$G123,1&lt;=Species!$H123),"H",""))&amp;IF(Species!$I123=1,"S","")</f>
        <v/>
      </c>
      <c r="D123" s="153" t="str">
        <f aca="false">IF(Species!$G123&lt;=Species!$H123,IF(AND(2&gt;=Species!$G123,2&lt;=Species!$H123),"H",""),IF(OR(2&gt;=Species!$G123,2&lt;=Species!$H123),"H",""))&amp;IF(Species!$I123=2,"S","")</f>
        <v/>
      </c>
      <c r="E123" s="153" t="str">
        <f aca="false">IF(Species!$G123&lt;=Species!$H123,IF(AND(3&gt;=Species!$G123,3&lt;=Species!$H123),"H",""),IF(OR(3&gt;=Species!$G123,3&lt;=Species!$H123),"H",""))&amp;IF(Species!$I123=3,"S","")</f>
        <v/>
      </c>
      <c r="F123" s="153" t="str">
        <f aca="false">IF(Species!$G123&lt;=Species!$H123,IF(AND(4&gt;=Species!$G123,4&lt;=Species!$H123),"H",""),IF(OR(4&gt;=Species!$G123,4&lt;=Species!$H123),"H",""))&amp;IF(Species!$I123=4,"S","")</f>
        <v/>
      </c>
      <c r="G123" s="153" t="str">
        <f aca="false">IF(Species!$G123&lt;=Species!$H123,IF(AND(5&gt;=Species!$G123,5&lt;=Species!$H123),"H",""),IF(OR(5&gt;=Species!$G123,5&lt;=Species!$H123),"H",""))&amp;IF(Species!$I123=5,"S","")</f>
        <v/>
      </c>
      <c r="H123" s="153" t="str">
        <f aca="false">IF(Species!$G123&lt;=Species!$H123,IF(AND(6&gt;=Species!$G123,6&lt;=Species!$H123),"H",""),IF(OR(6&gt;=Species!$G123,6&lt;=Species!$H123),"H",""))&amp;IF(Species!$I123=6,"S","")</f>
        <v/>
      </c>
      <c r="I123" s="153" t="str">
        <f aca="false">IF(Species!$G123&lt;=Species!$H123,IF(AND(7&gt;=Species!$G123,7&lt;=Species!$H123),"H",""),IF(OR(7&gt;=Species!$G123,7&lt;=Species!$H123),"H",""))&amp;IF(Species!$I123=7,"S","")</f>
        <v/>
      </c>
      <c r="J123" s="153" t="str">
        <f aca="false">IF(Species!$G123&lt;=Species!$H123,IF(AND(8&gt;=Species!$G123,8&lt;=Species!$H123),"H",""),IF(OR(8&gt;=Species!$G123,8&lt;=Species!$H123),"H",""))&amp;IF(Species!$I123=8,"S","")</f>
        <v/>
      </c>
      <c r="K123" s="153" t="str">
        <f aca="false">IF(Species!$G123&lt;=Species!$H123,IF(AND(9&gt;=Species!$G123,9&lt;=Species!$H123),"H",""),IF(OR(9&gt;=Species!$G123,9&lt;=Species!$H123),"H",""))&amp;IF(Species!$I123=9,"S","")</f>
        <v>H</v>
      </c>
      <c r="L123" s="153" t="str">
        <f aca="false">IF(Species!$G123&lt;=Species!$H123,IF(AND(10&gt;=Species!$G123,10&lt;=Species!$H123),"H",""),IF(OR(10&gt;=Species!$G123,10&lt;=Species!$H123),"H",""))&amp;IF(Species!$I123=10,"S","")</f>
        <v>HS</v>
      </c>
      <c r="M123" s="153" t="str">
        <f aca="false">IF(Species!$G123&lt;=Species!$H123,IF(AND(11&gt;=Species!$G123,11&lt;=Species!$H123),"H",""),IF(OR(11&gt;=Species!$G123,11&lt;=Species!$H123),"H",""))&amp;IF(Species!$I123=11,"S","")</f>
        <v/>
      </c>
      <c r="N123" s="153" t="str">
        <f aca="false">IF(Species!$G123&lt;=Species!$H123,IF(AND(12&gt;=Species!$G123,12&lt;=Species!$H123),"H",""),IF(OR(12&gt;=Species!$G123,12&lt;=Species!$H123),"H",""))&amp;IF(Species!$I123=12,"S","")</f>
        <v/>
      </c>
    </row>
    <row r="124" customFormat="false" ht="15" hidden="false" customHeight="false" outlineLevel="0" collapsed="false">
      <c r="A124" s="6" t="str">
        <f aca="false">Species!B124</f>
        <v>Black-eyed Susan</v>
      </c>
      <c r="B124" s="6" t="str">
        <f aca="false">Species!F124</f>
        <v>Root</v>
      </c>
      <c r="C124" s="153" t="str">
        <f aca="false">IF(Species!$G124&lt;=Species!$H124,IF(AND(1&gt;=Species!$G124,1&lt;=Species!$H124),"H",""),IF(OR(1&gt;=Species!$G124,1&lt;=Species!$H124),"H",""))&amp;IF(Species!$I124=1,"S","")</f>
        <v/>
      </c>
      <c r="D124" s="153" t="str">
        <f aca="false">IF(Species!$G124&lt;=Species!$H124,IF(AND(2&gt;=Species!$G124,2&lt;=Species!$H124),"H",""),IF(OR(2&gt;=Species!$G124,2&lt;=Species!$H124),"H",""))&amp;IF(Species!$I124=2,"S","")</f>
        <v/>
      </c>
      <c r="E124" s="153" t="str">
        <f aca="false">IF(Species!$G124&lt;=Species!$H124,IF(AND(3&gt;=Species!$G124,3&lt;=Species!$H124),"H",""),IF(OR(3&gt;=Species!$G124,3&lt;=Species!$H124),"H",""))&amp;IF(Species!$I124=3,"S","")</f>
        <v/>
      </c>
      <c r="F124" s="153" t="str">
        <f aca="false">IF(Species!$G124&lt;=Species!$H124,IF(AND(4&gt;=Species!$G124,4&lt;=Species!$H124),"H",""),IF(OR(4&gt;=Species!$G124,4&lt;=Species!$H124),"H",""))&amp;IF(Species!$I124=4,"S","")</f>
        <v/>
      </c>
      <c r="G124" s="153" t="str">
        <f aca="false">IF(Species!$G124&lt;=Species!$H124,IF(AND(5&gt;=Species!$G124,5&lt;=Species!$H124),"H",""),IF(OR(5&gt;=Species!$G124,5&lt;=Species!$H124),"H",""))&amp;IF(Species!$I124=5,"S","")</f>
        <v/>
      </c>
      <c r="H124" s="153" t="str">
        <f aca="false">IF(Species!$G124&lt;=Species!$H124,IF(AND(6&gt;=Species!$G124,6&lt;=Species!$H124),"H",""),IF(OR(6&gt;=Species!$G124,6&lt;=Species!$H124),"H",""))&amp;IF(Species!$I124=6,"S","")</f>
        <v/>
      </c>
      <c r="I124" s="153" t="str">
        <f aca="false">IF(Species!$G124&lt;=Species!$H124,IF(AND(7&gt;=Species!$G124,7&lt;=Species!$H124),"H",""),IF(OR(7&gt;=Species!$G124,7&lt;=Species!$H124),"H",""))&amp;IF(Species!$I124=7,"S","")</f>
        <v>H</v>
      </c>
      <c r="J124" s="153" t="str">
        <f aca="false">IF(Species!$G124&lt;=Species!$H124,IF(AND(8&gt;=Species!$G124,8&lt;=Species!$H124),"H",""),IF(OR(8&gt;=Species!$G124,8&lt;=Species!$H124),"H",""))&amp;IF(Species!$I124=8,"S","")</f>
        <v>H</v>
      </c>
      <c r="K124" s="153" t="str">
        <f aca="false">IF(Species!$G124&lt;=Species!$H124,IF(AND(9&gt;=Species!$G124,9&lt;=Species!$H124),"H",""),IF(OR(9&gt;=Species!$G124,9&lt;=Species!$H124),"H",""))&amp;IF(Species!$I124=9,"S","")</f>
        <v>HS</v>
      </c>
      <c r="L124" s="153" t="str">
        <f aca="false">IF(Species!$G124&lt;=Species!$H124,IF(AND(10&gt;=Species!$G124,10&lt;=Species!$H124),"H",""),IF(OR(10&gt;=Species!$G124,10&lt;=Species!$H124),"H",""))&amp;IF(Species!$I124=10,"S","")</f>
        <v/>
      </c>
      <c r="M124" s="153" t="str">
        <f aca="false">IF(Species!$G124&lt;=Species!$H124,IF(AND(11&gt;=Species!$G124,11&lt;=Species!$H124),"H",""),IF(OR(11&gt;=Species!$G124,11&lt;=Species!$H124),"H",""))&amp;IF(Species!$I124=11,"S","")</f>
        <v/>
      </c>
      <c r="N124" s="153" t="str">
        <f aca="false">IF(Species!$G124&lt;=Species!$H124,IF(AND(12&gt;=Species!$G124,12&lt;=Species!$H124),"H",""),IF(OR(12&gt;=Species!$G124,12&lt;=Species!$H124),"H",""))&amp;IF(Species!$I124=12,"S","")</f>
        <v/>
      </c>
    </row>
    <row r="125" customFormat="false" ht="15" hidden="false" customHeight="false" outlineLevel="0" collapsed="false">
      <c r="A125" s="6" t="str">
        <f aca="false">Species!B125</f>
        <v>Wild Sunflower</v>
      </c>
      <c r="B125" s="6" t="str">
        <f aca="false">Species!F125</f>
        <v>Seed</v>
      </c>
      <c r="C125" s="153" t="str">
        <f aca="false">IF(Species!$G125&lt;=Species!$H125,IF(AND(1&gt;=Species!$G125,1&lt;=Species!$H125),"H",""),IF(OR(1&gt;=Species!$G125,1&lt;=Species!$H125),"H",""))&amp;IF(Species!$I125=1,"S","")</f>
        <v/>
      </c>
      <c r="D125" s="153" t="str">
        <f aca="false">IF(Species!$G125&lt;=Species!$H125,IF(AND(2&gt;=Species!$G125,2&lt;=Species!$H125),"H",""),IF(OR(2&gt;=Species!$G125,2&lt;=Species!$H125),"H",""))&amp;IF(Species!$I125=2,"S","")</f>
        <v/>
      </c>
      <c r="E125" s="153" t="str">
        <f aca="false">IF(Species!$G125&lt;=Species!$H125,IF(AND(3&gt;=Species!$G125,3&lt;=Species!$H125),"H",""),IF(OR(3&gt;=Species!$G125,3&lt;=Species!$H125),"H",""))&amp;IF(Species!$I125=3,"S","")</f>
        <v/>
      </c>
      <c r="F125" s="153" t="str">
        <f aca="false">IF(Species!$G125&lt;=Species!$H125,IF(AND(4&gt;=Species!$G125,4&lt;=Species!$H125),"H",""),IF(OR(4&gt;=Species!$G125,4&lt;=Species!$H125),"H",""))&amp;IF(Species!$I125=4,"S","")</f>
        <v/>
      </c>
      <c r="G125" s="153" t="str">
        <f aca="false">IF(Species!$G125&lt;=Species!$H125,IF(AND(5&gt;=Species!$G125,5&lt;=Species!$H125),"H",""),IF(OR(5&gt;=Species!$G125,5&lt;=Species!$H125),"H",""))&amp;IF(Species!$I125=5,"S","")</f>
        <v/>
      </c>
      <c r="H125" s="153" t="str">
        <f aca="false">IF(Species!$G125&lt;=Species!$H125,IF(AND(6&gt;=Species!$G125,6&lt;=Species!$H125),"H",""),IF(OR(6&gt;=Species!$G125,6&lt;=Species!$H125),"H",""))&amp;IF(Species!$I125=6,"S","")</f>
        <v/>
      </c>
      <c r="I125" s="153" t="str">
        <f aca="false">IF(Species!$G125&lt;=Species!$H125,IF(AND(7&gt;=Species!$G125,7&lt;=Species!$H125),"H",""),IF(OR(7&gt;=Species!$G125,7&lt;=Species!$H125),"H",""))&amp;IF(Species!$I125=7,"S","")</f>
        <v/>
      </c>
      <c r="J125" s="153" t="str">
        <f aca="false">IF(Species!$G125&lt;=Species!$H125,IF(AND(8&gt;=Species!$G125,8&lt;=Species!$H125),"H",""),IF(OR(8&gt;=Species!$G125,8&lt;=Species!$H125),"H",""))&amp;IF(Species!$I125=8,"S","")</f>
        <v>H</v>
      </c>
      <c r="K125" s="153" t="str">
        <f aca="false">IF(Species!$G125&lt;=Species!$H125,IF(AND(9&gt;=Species!$G125,9&lt;=Species!$H125),"H",""),IF(OR(9&gt;=Species!$G125,9&lt;=Species!$H125),"H",""))&amp;IF(Species!$I125=9,"S","")</f>
        <v>H</v>
      </c>
      <c r="L125" s="153" t="str">
        <f aca="false">IF(Species!$G125&lt;=Species!$H125,IF(AND(10&gt;=Species!$G125,10&lt;=Species!$H125),"H",""),IF(OR(10&gt;=Species!$G125,10&lt;=Species!$H125),"H",""))&amp;IF(Species!$I125=10,"S","")</f>
        <v>H</v>
      </c>
      <c r="M125" s="153" t="str">
        <f aca="false">IF(Species!$G125&lt;=Species!$H125,IF(AND(11&gt;=Species!$G125,11&lt;=Species!$H125),"H",""),IF(OR(11&gt;=Species!$G125,11&lt;=Species!$H125),"H",""))&amp;IF(Species!$I125=11,"S","")</f>
        <v/>
      </c>
      <c r="N125" s="153" t="str">
        <f aca="false">IF(Species!$G125&lt;=Species!$H125,IF(AND(12&gt;=Species!$G125,12&lt;=Species!$H125),"H",""),IF(OR(12&gt;=Species!$G125,12&lt;=Species!$H125),"H",""))&amp;IF(Species!$I125=12,"S","")</f>
        <v/>
      </c>
    </row>
    <row r="126" customFormat="false" ht="15" hidden="false" customHeight="false" outlineLevel="0" collapsed="false">
      <c r="A126" s="6" t="str">
        <f aca="false">Species!B126</f>
        <v>Jerusalem Artichoke</v>
      </c>
      <c r="B126" s="6" t="str">
        <f aca="false">Species!F126</f>
        <v>Tuber</v>
      </c>
      <c r="C126" s="153" t="str">
        <f aca="false">IF(Species!$G126&lt;=Species!$H126,IF(AND(1&gt;=Species!$G126,1&lt;=Species!$H126),"H",""),IF(OR(1&gt;=Species!$G126,1&lt;=Species!$H126),"H",""))&amp;IF(Species!$I126=1,"S","")</f>
        <v>H</v>
      </c>
      <c r="D126" s="153" t="str">
        <f aca="false">IF(Species!$G126&lt;=Species!$H126,IF(AND(2&gt;=Species!$G126,2&lt;=Species!$H126),"H",""),IF(OR(2&gt;=Species!$G126,2&lt;=Species!$H126),"H",""))&amp;IF(Species!$I126=2,"S","")</f>
        <v>H</v>
      </c>
      <c r="E126" s="153" t="str">
        <f aca="false">IF(Species!$G126&lt;=Species!$H126,IF(AND(3&gt;=Species!$G126,3&lt;=Species!$H126),"H",""),IF(OR(3&gt;=Species!$G126,3&lt;=Species!$H126),"H",""))&amp;IF(Species!$I126=3,"S","")</f>
        <v>H</v>
      </c>
      <c r="F126" s="153" t="str">
        <f aca="false">IF(Species!$G126&lt;=Species!$H126,IF(AND(4&gt;=Species!$G126,4&lt;=Species!$H126),"H",""),IF(OR(4&gt;=Species!$G126,4&lt;=Species!$H126),"H",""))&amp;IF(Species!$I126=4,"S","")</f>
        <v/>
      </c>
      <c r="G126" s="153" t="str">
        <f aca="false">IF(Species!$G126&lt;=Species!$H126,IF(AND(5&gt;=Species!$G126,5&lt;=Species!$H126),"H",""),IF(OR(5&gt;=Species!$G126,5&lt;=Species!$H126),"H",""))&amp;IF(Species!$I126=5,"S","")</f>
        <v/>
      </c>
      <c r="H126" s="153" t="str">
        <f aca="false">IF(Species!$G126&lt;=Species!$H126,IF(AND(6&gt;=Species!$G126,6&lt;=Species!$H126),"H",""),IF(OR(6&gt;=Species!$G126,6&lt;=Species!$H126),"H",""))&amp;IF(Species!$I126=6,"S","")</f>
        <v/>
      </c>
      <c r="I126" s="153" t="str">
        <f aca="false">IF(Species!$G126&lt;=Species!$H126,IF(AND(7&gt;=Species!$G126,7&lt;=Species!$H126),"H",""),IF(OR(7&gt;=Species!$G126,7&lt;=Species!$H126),"H",""))&amp;IF(Species!$I126=7,"S","")</f>
        <v/>
      </c>
      <c r="J126" s="153" t="str">
        <f aca="false">IF(Species!$G126&lt;=Species!$H126,IF(AND(8&gt;=Species!$G126,8&lt;=Species!$H126),"H",""),IF(OR(8&gt;=Species!$G126,8&lt;=Species!$H126),"H",""))&amp;IF(Species!$I126=8,"S","")</f>
        <v/>
      </c>
      <c r="K126" s="153" t="str">
        <f aca="false">IF(Species!$G126&lt;=Species!$H126,IF(AND(9&gt;=Species!$G126,9&lt;=Species!$H126),"H",""),IF(OR(9&gt;=Species!$G126,9&lt;=Species!$H126),"H",""))&amp;IF(Species!$I126=9,"S","")</f>
        <v/>
      </c>
      <c r="L126" s="153" t="str">
        <f aca="false">IF(Species!$G126&lt;=Species!$H126,IF(AND(10&gt;=Species!$G126,10&lt;=Species!$H126),"H",""),IF(OR(10&gt;=Species!$G126,10&lt;=Species!$H126),"H",""))&amp;IF(Species!$I126=10,"S","")</f>
        <v>H</v>
      </c>
      <c r="M126" s="153" t="str">
        <f aca="false">IF(Species!$G126&lt;=Species!$H126,IF(AND(11&gt;=Species!$G126,11&lt;=Species!$H126),"H",""),IF(OR(11&gt;=Species!$G126,11&lt;=Species!$H126),"H",""))&amp;IF(Species!$I126=11,"S","")</f>
        <v>H</v>
      </c>
      <c r="N126" s="153" t="str">
        <f aca="false">IF(Species!$G126&lt;=Species!$H126,IF(AND(12&gt;=Species!$G126,12&lt;=Species!$H126),"H",""),IF(OR(12&gt;=Species!$G126,12&lt;=Species!$H126),"H",""))&amp;IF(Species!$I126=12,"S","")</f>
        <v>H</v>
      </c>
    </row>
    <row r="127" customFormat="false" ht="15" hidden="false" customHeight="false" outlineLevel="0" collapsed="false">
      <c r="A127" s="6" t="str">
        <f aca="false">Species!B127</f>
        <v>Groundnut</v>
      </c>
      <c r="B127" s="6" t="str">
        <f aca="false">Species!F127</f>
        <v>Tuber</v>
      </c>
      <c r="C127" s="153" t="str">
        <f aca="false">IF(Species!$G127&lt;=Species!$H127,IF(AND(1&gt;=Species!$G127,1&lt;=Species!$H127),"H",""),IF(OR(1&gt;=Species!$G127,1&lt;=Species!$H127),"H",""))&amp;IF(Species!$I127=1,"S","")</f>
        <v>H</v>
      </c>
      <c r="D127" s="153" t="str">
        <f aca="false">IF(Species!$G127&lt;=Species!$H127,IF(AND(2&gt;=Species!$G127,2&lt;=Species!$H127),"H",""),IF(OR(2&gt;=Species!$G127,2&lt;=Species!$H127),"H",""))&amp;IF(Species!$I127=2,"S","")</f>
        <v>H</v>
      </c>
      <c r="E127" s="153" t="str">
        <f aca="false">IF(Species!$G127&lt;=Species!$H127,IF(AND(3&gt;=Species!$G127,3&lt;=Species!$H127),"H",""),IF(OR(3&gt;=Species!$G127,3&lt;=Species!$H127),"H",""))&amp;IF(Species!$I127=3,"S","")</f>
        <v>H</v>
      </c>
      <c r="F127" s="153" t="str">
        <f aca="false">IF(Species!$G127&lt;=Species!$H127,IF(AND(4&gt;=Species!$G127,4&lt;=Species!$H127),"H",""),IF(OR(4&gt;=Species!$G127,4&lt;=Species!$H127),"H",""))&amp;IF(Species!$I127=4,"S","")</f>
        <v>H</v>
      </c>
      <c r="G127" s="153" t="str">
        <f aca="false">IF(Species!$G127&lt;=Species!$H127,IF(AND(5&gt;=Species!$G127,5&lt;=Species!$H127),"H",""),IF(OR(5&gt;=Species!$G127,5&lt;=Species!$H127),"H",""))&amp;IF(Species!$I127=5,"S","")</f>
        <v/>
      </c>
      <c r="H127" s="153" t="str">
        <f aca="false">IF(Species!$G127&lt;=Species!$H127,IF(AND(6&gt;=Species!$G127,6&lt;=Species!$H127),"H",""),IF(OR(6&gt;=Species!$G127,6&lt;=Species!$H127),"H",""))&amp;IF(Species!$I127=6,"S","")</f>
        <v/>
      </c>
      <c r="I127" s="153" t="str">
        <f aca="false">IF(Species!$G127&lt;=Species!$H127,IF(AND(7&gt;=Species!$G127,7&lt;=Species!$H127),"H",""),IF(OR(7&gt;=Species!$G127,7&lt;=Species!$H127),"H",""))&amp;IF(Species!$I127=7,"S","")</f>
        <v/>
      </c>
      <c r="J127" s="153" t="str">
        <f aca="false">IF(Species!$G127&lt;=Species!$H127,IF(AND(8&gt;=Species!$G127,8&lt;=Species!$H127),"H",""),IF(OR(8&gt;=Species!$G127,8&lt;=Species!$H127),"H",""))&amp;IF(Species!$I127=8,"S","")</f>
        <v/>
      </c>
      <c r="K127" s="153" t="str">
        <f aca="false">IF(Species!$G127&lt;=Species!$H127,IF(AND(9&gt;=Species!$G127,9&lt;=Species!$H127),"H",""),IF(OR(9&gt;=Species!$G127,9&lt;=Species!$H127),"H",""))&amp;IF(Species!$I127=9,"S","")</f>
        <v>S</v>
      </c>
      <c r="L127" s="153" t="str">
        <f aca="false">IF(Species!$G127&lt;=Species!$H127,IF(AND(10&gt;=Species!$G127,10&lt;=Species!$H127),"H",""),IF(OR(10&gt;=Species!$G127,10&lt;=Species!$H127),"H",""))&amp;IF(Species!$I127=10,"S","")</f>
        <v>H</v>
      </c>
      <c r="M127" s="153" t="str">
        <f aca="false">IF(Species!$G127&lt;=Species!$H127,IF(AND(11&gt;=Species!$G127,11&lt;=Species!$H127),"H",""),IF(OR(11&gt;=Species!$G127,11&lt;=Species!$H127),"H",""))&amp;IF(Species!$I127=11,"S","")</f>
        <v>H</v>
      </c>
      <c r="N127" s="153" t="str">
        <f aca="false">IF(Species!$G127&lt;=Species!$H127,IF(AND(12&gt;=Species!$G127,12&lt;=Species!$H127),"H",""),IF(OR(12&gt;=Species!$G127,12&lt;=Species!$H127),"H",""))&amp;IF(Species!$I127=12,"S","")</f>
        <v>H</v>
      </c>
    </row>
    <row r="128" customFormat="false" ht="15" hidden="false" customHeight="false" outlineLevel="0" collapsed="false">
      <c r="A128" s="6" t="str">
        <f aca="false">Species!B128</f>
        <v>Hog Peanut</v>
      </c>
      <c r="B128" s="6" t="str">
        <f aca="false">Species!F128</f>
        <v>Seed</v>
      </c>
      <c r="C128" s="153" t="str">
        <f aca="false">IF(Species!$G128&lt;=Species!$H128,IF(AND(1&gt;=Species!$G128,1&lt;=Species!$H128),"H",""),IF(OR(1&gt;=Species!$G128,1&lt;=Species!$H128),"H",""))&amp;IF(Species!$I128=1,"S","")</f>
        <v/>
      </c>
      <c r="D128" s="153" t="str">
        <f aca="false">IF(Species!$G128&lt;=Species!$H128,IF(AND(2&gt;=Species!$G128,2&lt;=Species!$H128),"H",""),IF(OR(2&gt;=Species!$G128,2&lt;=Species!$H128),"H",""))&amp;IF(Species!$I128=2,"S","")</f>
        <v/>
      </c>
      <c r="E128" s="153" t="str">
        <f aca="false">IF(Species!$G128&lt;=Species!$H128,IF(AND(3&gt;=Species!$G128,3&lt;=Species!$H128),"H",""),IF(OR(3&gt;=Species!$G128,3&lt;=Species!$H128),"H",""))&amp;IF(Species!$I128=3,"S","")</f>
        <v/>
      </c>
      <c r="F128" s="153" t="str">
        <f aca="false">IF(Species!$G128&lt;=Species!$H128,IF(AND(4&gt;=Species!$G128,4&lt;=Species!$H128),"H",""),IF(OR(4&gt;=Species!$G128,4&lt;=Species!$H128),"H",""))&amp;IF(Species!$I128=4,"S","")</f>
        <v/>
      </c>
      <c r="G128" s="153" t="str">
        <f aca="false">IF(Species!$G128&lt;=Species!$H128,IF(AND(5&gt;=Species!$G128,5&lt;=Species!$H128),"H",""),IF(OR(5&gt;=Species!$G128,5&lt;=Species!$H128),"H",""))&amp;IF(Species!$I128=5,"S","")</f>
        <v/>
      </c>
      <c r="H128" s="153" t="str">
        <f aca="false">IF(Species!$G128&lt;=Species!$H128,IF(AND(6&gt;=Species!$G128,6&lt;=Species!$H128),"H",""),IF(OR(6&gt;=Species!$G128,6&lt;=Species!$H128),"H",""))&amp;IF(Species!$I128=6,"S","")</f>
        <v/>
      </c>
      <c r="I128" s="153" t="str">
        <f aca="false">IF(Species!$G128&lt;=Species!$H128,IF(AND(7&gt;=Species!$G128,7&lt;=Species!$H128),"H",""),IF(OR(7&gt;=Species!$G128,7&lt;=Species!$H128),"H",""))&amp;IF(Species!$I128=7,"S","")</f>
        <v/>
      </c>
      <c r="J128" s="153" t="str">
        <f aca="false">IF(Species!$G128&lt;=Species!$H128,IF(AND(8&gt;=Species!$G128,8&lt;=Species!$H128),"H",""),IF(OR(8&gt;=Species!$G128,8&lt;=Species!$H128),"H",""))&amp;IF(Species!$I128=8,"S","")</f>
        <v/>
      </c>
      <c r="K128" s="153" t="str">
        <f aca="false">IF(Species!$G128&lt;=Species!$H128,IF(AND(9&gt;=Species!$G128,9&lt;=Species!$H128),"H",""),IF(OR(9&gt;=Species!$G128,9&lt;=Species!$H128),"H",""))&amp;IF(Species!$I128=9,"S","")</f>
        <v>H</v>
      </c>
      <c r="L128" s="153" t="str">
        <f aca="false">IF(Species!$G128&lt;=Species!$H128,IF(AND(10&gt;=Species!$G128,10&lt;=Species!$H128),"H",""),IF(OR(10&gt;=Species!$G128,10&lt;=Species!$H128),"H",""))&amp;IF(Species!$I128=10,"S","")</f>
        <v>H</v>
      </c>
      <c r="M128" s="153" t="str">
        <f aca="false">IF(Species!$G128&lt;=Species!$H128,IF(AND(11&gt;=Species!$G128,11&lt;=Species!$H128),"H",""),IF(OR(11&gt;=Species!$G128,11&lt;=Species!$H128),"H",""))&amp;IF(Species!$I128=11,"S","")</f>
        <v>H</v>
      </c>
      <c r="N128" s="153" t="str">
        <f aca="false">IF(Species!$G128&lt;=Species!$H128,IF(AND(12&gt;=Species!$G128,12&lt;=Species!$H128),"H",""),IF(OR(12&gt;=Species!$G128,12&lt;=Species!$H128),"H",""))&amp;IF(Species!$I128=12,"S","")</f>
        <v/>
      </c>
    </row>
    <row r="129" customFormat="false" ht="15" hidden="false" customHeight="false" outlineLevel="0" collapsed="false">
      <c r="A129" s="6" t="str">
        <f aca="false">Species!B129</f>
        <v>Virginia Creeper</v>
      </c>
      <c r="B129" s="6" t="str">
        <f aca="false">Species!F129</f>
        <v>Fruit</v>
      </c>
      <c r="C129" s="153" t="str">
        <f aca="false">IF(Species!$G129&lt;=Species!$H129,IF(AND(1&gt;=Species!$G129,1&lt;=Species!$H129),"H",""),IF(OR(1&gt;=Species!$G129,1&lt;=Species!$H129),"H",""))&amp;IF(Species!$I129=1,"S","")</f>
        <v/>
      </c>
      <c r="D129" s="153" t="str">
        <f aca="false">IF(Species!$G129&lt;=Species!$H129,IF(AND(2&gt;=Species!$G129,2&lt;=Species!$H129),"H",""),IF(OR(2&gt;=Species!$G129,2&lt;=Species!$H129),"H",""))&amp;IF(Species!$I129=2,"S","")</f>
        <v/>
      </c>
      <c r="E129" s="153" t="str">
        <f aca="false">IF(Species!$G129&lt;=Species!$H129,IF(AND(3&gt;=Species!$G129,3&lt;=Species!$H129),"H",""),IF(OR(3&gt;=Species!$G129,3&lt;=Species!$H129),"H",""))&amp;IF(Species!$I129=3,"S","")</f>
        <v/>
      </c>
      <c r="F129" s="153" t="str">
        <f aca="false">IF(Species!$G129&lt;=Species!$H129,IF(AND(4&gt;=Species!$G129,4&lt;=Species!$H129),"H",""),IF(OR(4&gt;=Species!$G129,4&lt;=Species!$H129),"H",""))&amp;IF(Species!$I129=4,"S","")</f>
        <v/>
      </c>
      <c r="G129" s="153" t="str">
        <f aca="false">IF(Species!$G129&lt;=Species!$H129,IF(AND(5&gt;=Species!$G129,5&lt;=Species!$H129),"H",""),IF(OR(5&gt;=Species!$G129,5&lt;=Species!$H129),"H",""))&amp;IF(Species!$I129=5,"S","")</f>
        <v/>
      </c>
      <c r="H129" s="153" t="str">
        <f aca="false">IF(Species!$G129&lt;=Species!$H129,IF(AND(6&gt;=Species!$G129,6&lt;=Species!$H129),"H",""),IF(OR(6&gt;=Species!$G129,6&lt;=Species!$H129),"H",""))&amp;IF(Species!$I129=6,"S","")</f>
        <v/>
      </c>
      <c r="I129" s="153" t="str">
        <f aca="false">IF(Species!$G129&lt;=Species!$H129,IF(AND(7&gt;=Species!$G129,7&lt;=Species!$H129),"H",""),IF(OR(7&gt;=Species!$G129,7&lt;=Species!$H129),"H",""))&amp;IF(Species!$I129=7,"S","")</f>
        <v/>
      </c>
      <c r="J129" s="153" t="str">
        <f aca="false">IF(Species!$G129&lt;=Species!$H129,IF(AND(8&gt;=Species!$G129,8&lt;=Species!$H129),"H",""),IF(OR(8&gt;=Species!$G129,8&lt;=Species!$H129),"H",""))&amp;IF(Species!$I129=8,"S","")</f>
        <v/>
      </c>
      <c r="K129" s="153" t="str">
        <f aca="false">IF(Species!$G129&lt;=Species!$H129,IF(AND(9&gt;=Species!$G129,9&lt;=Species!$H129),"H",""),IF(OR(9&gt;=Species!$G129,9&lt;=Species!$H129),"H",""))&amp;IF(Species!$I129=9,"S","")</f>
        <v>H</v>
      </c>
      <c r="L129" s="153" t="str">
        <f aca="false">IF(Species!$G129&lt;=Species!$H129,IF(AND(10&gt;=Species!$G129,10&lt;=Species!$H129),"H",""),IF(OR(10&gt;=Species!$G129,10&lt;=Species!$H129),"H",""))&amp;IF(Species!$I129=10,"S","")</f>
        <v>H</v>
      </c>
      <c r="M129" s="153" t="str">
        <f aca="false">IF(Species!$G129&lt;=Species!$H129,IF(AND(11&gt;=Species!$G129,11&lt;=Species!$H129),"H",""),IF(OR(11&gt;=Species!$G129,11&lt;=Species!$H129),"H",""))&amp;IF(Species!$I129=11,"S","")</f>
        <v/>
      </c>
      <c r="N129" s="153" t="str">
        <f aca="false">IF(Species!$G129&lt;=Species!$H129,IF(AND(12&gt;=Species!$G129,12&lt;=Species!$H129),"H",""),IF(OR(12&gt;=Species!$G129,12&lt;=Species!$H129),"H",""))&amp;IF(Species!$I129=12,"S","")</f>
        <v/>
      </c>
    </row>
    <row r="130" customFormat="false" ht="15" hidden="false" customHeight="false" outlineLevel="0" collapsed="false">
      <c r="A130" s="6" t="str">
        <f aca="false">Species!B130</f>
        <v>Bittersweet Nightshade</v>
      </c>
      <c r="B130" s="6" t="str">
        <f aca="false">Species!F130</f>
        <v>Fruit</v>
      </c>
      <c r="C130" s="153" t="str">
        <f aca="false">IF(Species!$G130&lt;=Species!$H130,IF(AND(1&gt;=Species!$G130,1&lt;=Species!$H130),"H",""),IF(OR(1&gt;=Species!$G130,1&lt;=Species!$H130),"H",""))&amp;IF(Species!$I130=1,"S","")</f>
        <v/>
      </c>
      <c r="D130" s="153" t="str">
        <f aca="false">IF(Species!$G130&lt;=Species!$H130,IF(AND(2&gt;=Species!$G130,2&lt;=Species!$H130),"H",""),IF(OR(2&gt;=Species!$G130,2&lt;=Species!$H130),"H",""))&amp;IF(Species!$I130=2,"S","")</f>
        <v/>
      </c>
      <c r="E130" s="153" t="str">
        <f aca="false">IF(Species!$G130&lt;=Species!$H130,IF(AND(3&gt;=Species!$G130,3&lt;=Species!$H130),"H",""),IF(OR(3&gt;=Species!$G130,3&lt;=Species!$H130),"H",""))&amp;IF(Species!$I130=3,"S","")</f>
        <v/>
      </c>
      <c r="F130" s="153" t="str">
        <f aca="false">IF(Species!$G130&lt;=Species!$H130,IF(AND(4&gt;=Species!$G130,4&lt;=Species!$H130),"H",""),IF(OR(4&gt;=Species!$G130,4&lt;=Species!$H130),"H",""))&amp;IF(Species!$I130=4,"S","")</f>
        <v/>
      </c>
      <c r="G130" s="153" t="str">
        <f aca="false">IF(Species!$G130&lt;=Species!$H130,IF(AND(5&gt;=Species!$G130,5&lt;=Species!$H130),"H",""),IF(OR(5&gt;=Species!$G130,5&lt;=Species!$H130),"H",""))&amp;IF(Species!$I130=5,"S","")</f>
        <v/>
      </c>
      <c r="H130" s="153" t="str">
        <f aca="false">IF(Species!$G130&lt;=Species!$H130,IF(AND(6&gt;=Species!$G130,6&lt;=Species!$H130),"H",""),IF(OR(6&gt;=Species!$G130,6&lt;=Species!$H130),"H",""))&amp;IF(Species!$I130=6,"S","")</f>
        <v/>
      </c>
      <c r="I130" s="153" t="str">
        <f aca="false">IF(Species!$G130&lt;=Species!$H130,IF(AND(7&gt;=Species!$G130,7&lt;=Species!$H130),"H",""),IF(OR(7&gt;=Species!$G130,7&lt;=Species!$H130),"H",""))&amp;IF(Species!$I130=7,"S","")</f>
        <v>H</v>
      </c>
      <c r="J130" s="153" t="str">
        <f aca="false">IF(Species!$G130&lt;=Species!$H130,IF(AND(8&gt;=Species!$G130,8&lt;=Species!$H130),"H",""),IF(OR(8&gt;=Species!$G130,8&lt;=Species!$H130),"H",""))&amp;IF(Species!$I130=8,"S","")</f>
        <v>H</v>
      </c>
      <c r="K130" s="153" t="str">
        <f aca="false">IF(Species!$G130&lt;=Species!$H130,IF(AND(9&gt;=Species!$G130,9&lt;=Species!$H130),"H",""),IF(OR(9&gt;=Species!$G130,9&lt;=Species!$H130),"H",""))&amp;IF(Species!$I130=9,"S","")</f>
        <v>H</v>
      </c>
      <c r="L130" s="153" t="str">
        <f aca="false">IF(Species!$G130&lt;=Species!$H130,IF(AND(10&gt;=Species!$G130,10&lt;=Species!$H130),"H",""),IF(OR(10&gt;=Species!$G130,10&lt;=Species!$H130),"H",""))&amp;IF(Species!$I130=10,"S","")</f>
        <v>H</v>
      </c>
      <c r="M130" s="153" t="str">
        <f aca="false">IF(Species!$G130&lt;=Species!$H130,IF(AND(11&gt;=Species!$G130,11&lt;=Species!$H130),"H",""),IF(OR(11&gt;=Species!$G130,11&lt;=Species!$H130),"H",""))&amp;IF(Species!$I130=11,"S","")</f>
        <v/>
      </c>
      <c r="N130" s="153" t="str">
        <f aca="false">IF(Species!$G130&lt;=Species!$H130,IF(AND(12&gt;=Species!$G130,12&lt;=Species!$H130),"H",""),IF(OR(12&gt;=Species!$G130,12&lt;=Species!$H130),"H",""))&amp;IF(Species!$I130=12,"S","")</f>
        <v/>
      </c>
    </row>
    <row r="131" customFormat="false" ht="15" hidden="false" customHeight="false" outlineLevel="0" collapsed="false">
      <c r="A131" s="6" t="str">
        <f aca="false">Species!B131</f>
        <v>Horse Nettle</v>
      </c>
      <c r="B131" s="6" t="str">
        <f aca="false">Species!F131</f>
        <v>Fruit</v>
      </c>
      <c r="C131" s="153" t="str">
        <f aca="false">IF(Species!$G131&lt;=Species!$H131,IF(AND(1&gt;=Species!$G131,1&lt;=Species!$H131),"H",""),IF(OR(1&gt;=Species!$G131,1&lt;=Species!$H131),"H",""))&amp;IF(Species!$I131=1,"S","")</f>
        <v/>
      </c>
      <c r="D131" s="153" t="str">
        <f aca="false">IF(Species!$G131&lt;=Species!$H131,IF(AND(2&gt;=Species!$G131,2&lt;=Species!$H131),"H",""),IF(OR(2&gt;=Species!$G131,2&lt;=Species!$H131),"H",""))&amp;IF(Species!$I131=2,"S","")</f>
        <v/>
      </c>
      <c r="E131" s="153" t="str">
        <f aca="false">IF(Species!$G131&lt;=Species!$H131,IF(AND(3&gt;=Species!$G131,3&lt;=Species!$H131),"H",""),IF(OR(3&gt;=Species!$G131,3&lt;=Species!$H131),"H",""))&amp;IF(Species!$I131=3,"S","")</f>
        <v/>
      </c>
      <c r="F131" s="153" t="str">
        <f aca="false">IF(Species!$G131&lt;=Species!$H131,IF(AND(4&gt;=Species!$G131,4&lt;=Species!$H131),"H",""),IF(OR(4&gt;=Species!$G131,4&lt;=Species!$H131),"H",""))&amp;IF(Species!$I131=4,"S","")</f>
        <v/>
      </c>
      <c r="G131" s="153" t="str">
        <f aca="false">IF(Species!$G131&lt;=Species!$H131,IF(AND(5&gt;=Species!$G131,5&lt;=Species!$H131),"H",""),IF(OR(5&gt;=Species!$G131,5&lt;=Species!$H131),"H",""))&amp;IF(Species!$I131=5,"S","")</f>
        <v/>
      </c>
      <c r="H131" s="153" t="str">
        <f aca="false">IF(Species!$G131&lt;=Species!$H131,IF(AND(6&gt;=Species!$G131,6&lt;=Species!$H131),"H",""),IF(OR(6&gt;=Species!$G131,6&lt;=Species!$H131),"H",""))&amp;IF(Species!$I131=6,"S","")</f>
        <v/>
      </c>
      <c r="I131" s="153" t="str">
        <f aca="false">IF(Species!$G131&lt;=Species!$H131,IF(AND(7&gt;=Species!$G131,7&lt;=Species!$H131),"H",""),IF(OR(7&gt;=Species!$G131,7&lt;=Species!$H131),"H",""))&amp;IF(Species!$I131=7,"S","")</f>
        <v/>
      </c>
      <c r="J131" s="153" t="str">
        <f aca="false">IF(Species!$G131&lt;=Species!$H131,IF(AND(8&gt;=Species!$G131,8&lt;=Species!$H131),"H",""),IF(OR(8&gt;=Species!$G131,8&lt;=Species!$H131),"H",""))&amp;IF(Species!$I131=8,"S","")</f>
        <v>H</v>
      </c>
      <c r="K131" s="153" t="str">
        <f aca="false">IF(Species!$G131&lt;=Species!$H131,IF(AND(9&gt;=Species!$G131,9&lt;=Species!$H131),"H",""),IF(OR(9&gt;=Species!$G131,9&lt;=Species!$H131),"H",""))&amp;IF(Species!$I131=9,"S","")</f>
        <v>H</v>
      </c>
      <c r="L131" s="153" t="str">
        <f aca="false">IF(Species!$G131&lt;=Species!$H131,IF(AND(10&gt;=Species!$G131,10&lt;=Species!$H131),"H",""),IF(OR(10&gt;=Species!$G131,10&lt;=Species!$H131),"H",""))&amp;IF(Species!$I131=10,"S","")</f>
        <v>H</v>
      </c>
      <c r="M131" s="153" t="str">
        <f aca="false">IF(Species!$G131&lt;=Species!$H131,IF(AND(11&gt;=Species!$G131,11&lt;=Species!$H131),"H",""),IF(OR(11&gt;=Species!$G131,11&lt;=Species!$H131),"H",""))&amp;IF(Species!$I131=11,"S","")</f>
        <v/>
      </c>
      <c r="N131" s="153" t="str">
        <f aca="false">IF(Species!$G131&lt;=Species!$H131,IF(AND(12&gt;=Species!$G131,12&lt;=Species!$H131),"H",""),IF(OR(12&gt;=Species!$G131,12&lt;=Species!$H131),"H",""))&amp;IF(Species!$I131=12,"S","")</f>
        <v/>
      </c>
    </row>
    <row r="132" customFormat="false" ht="15" hidden="false" customHeight="false" outlineLevel="0" collapsed="false">
      <c r="A132" s="6" t="str">
        <f aca="false">Species!B132</f>
        <v>Ground Ivy</v>
      </c>
      <c r="B132" s="6" t="str">
        <f aca="false">Species!F132</f>
        <v>Leaf</v>
      </c>
      <c r="C132" s="153" t="str">
        <f aca="false">IF(Species!$G132&lt;=Species!$H132,IF(AND(1&gt;=Species!$G132,1&lt;=Species!$H132),"H",""),IF(OR(1&gt;=Species!$G132,1&lt;=Species!$H132),"H",""))&amp;IF(Species!$I132=1,"S","")</f>
        <v/>
      </c>
      <c r="D132" s="153" t="str">
        <f aca="false">IF(Species!$G132&lt;=Species!$H132,IF(AND(2&gt;=Species!$G132,2&lt;=Species!$H132),"H",""),IF(OR(2&gt;=Species!$G132,2&lt;=Species!$H132),"H",""))&amp;IF(Species!$I132=2,"S","")</f>
        <v/>
      </c>
      <c r="E132" s="153" t="str">
        <f aca="false">IF(Species!$G132&lt;=Species!$H132,IF(AND(3&gt;=Species!$G132,3&lt;=Species!$H132),"H",""),IF(OR(3&gt;=Species!$G132,3&lt;=Species!$H132),"H",""))&amp;IF(Species!$I132=3,"S","")</f>
        <v>H</v>
      </c>
      <c r="F132" s="153" t="str">
        <f aca="false">IF(Species!$G132&lt;=Species!$H132,IF(AND(4&gt;=Species!$G132,4&lt;=Species!$H132),"H",""),IF(OR(4&gt;=Species!$G132,4&lt;=Species!$H132),"H",""))&amp;IF(Species!$I132=4,"S","")</f>
        <v>H</v>
      </c>
      <c r="G132" s="153" t="str">
        <f aca="false">IF(Species!$G132&lt;=Species!$H132,IF(AND(5&gt;=Species!$G132,5&lt;=Species!$H132),"H",""),IF(OR(5&gt;=Species!$G132,5&lt;=Species!$H132),"H",""))&amp;IF(Species!$I132=5,"S","")</f>
        <v>H</v>
      </c>
      <c r="H132" s="153" t="str">
        <f aca="false">IF(Species!$G132&lt;=Species!$H132,IF(AND(6&gt;=Species!$G132,6&lt;=Species!$H132),"H",""),IF(OR(6&gt;=Species!$G132,6&lt;=Species!$H132),"H",""))&amp;IF(Species!$I132=6,"S","")</f>
        <v>HS</v>
      </c>
      <c r="I132" s="153" t="str">
        <f aca="false">IF(Species!$G132&lt;=Species!$H132,IF(AND(7&gt;=Species!$G132,7&lt;=Species!$H132),"H",""),IF(OR(7&gt;=Species!$G132,7&lt;=Species!$H132),"H",""))&amp;IF(Species!$I132=7,"S","")</f>
        <v>H</v>
      </c>
      <c r="J132" s="153" t="str">
        <f aca="false">IF(Species!$G132&lt;=Species!$H132,IF(AND(8&gt;=Species!$G132,8&lt;=Species!$H132),"H",""),IF(OR(8&gt;=Species!$G132,8&lt;=Species!$H132),"H",""))&amp;IF(Species!$I132=8,"S","")</f>
        <v>H</v>
      </c>
      <c r="K132" s="153" t="str">
        <f aca="false">IF(Species!$G132&lt;=Species!$H132,IF(AND(9&gt;=Species!$G132,9&lt;=Species!$H132),"H",""),IF(OR(9&gt;=Species!$G132,9&lt;=Species!$H132),"H",""))&amp;IF(Species!$I132=9,"S","")</f>
        <v>H</v>
      </c>
      <c r="L132" s="153" t="str">
        <f aca="false">IF(Species!$G132&lt;=Species!$H132,IF(AND(10&gt;=Species!$G132,10&lt;=Species!$H132),"H",""),IF(OR(10&gt;=Species!$G132,10&lt;=Species!$H132),"H",""))&amp;IF(Species!$I132=10,"S","")</f>
        <v>H</v>
      </c>
      <c r="M132" s="153" t="str">
        <f aca="false">IF(Species!$G132&lt;=Species!$H132,IF(AND(11&gt;=Species!$G132,11&lt;=Species!$H132),"H",""),IF(OR(11&gt;=Species!$G132,11&lt;=Species!$H132),"H",""))&amp;IF(Species!$I132=11,"S","")</f>
        <v/>
      </c>
      <c r="N132" s="153" t="str">
        <f aca="false">IF(Species!$G132&lt;=Species!$H132,IF(AND(12&gt;=Species!$G132,12&lt;=Species!$H132),"H",""),IF(OR(12&gt;=Species!$G132,12&lt;=Species!$H132),"H",""))&amp;IF(Species!$I132=12,"S","")</f>
        <v/>
      </c>
    </row>
    <row r="133" customFormat="false" ht="15" hidden="false" customHeight="false" outlineLevel="0" collapsed="false">
      <c r="A133" s="6" t="str">
        <f aca="false">Species!B133</f>
        <v>Peppermint (escaped)</v>
      </c>
      <c r="B133" s="6" t="str">
        <f aca="false">Species!F133</f>
        <v>Leaf</v>
      </c>
      <c r="C133" s="153" t="str">
        <f aca="false">IF(Species!$G133&lt;=Species!$H133,IF(AND(1&gt;=Species!$G133,1&lt;=Species!$H133),"H",""),IF(OR(1&gt;=Species!$G133,1&lt;=Species!$H133),"H",""))&amp;IF(Species!$I133=1,"S","")</f>
        <v/>
      </c>
      <c r="D133" s="153" t="str">
        <f aca="false">IF(Species!$G133&lt;=Species!$H133,IF(AND(2&gt;=Species!$G133,2&lt;=Species!$H133),"H",""),IF(OR(2&gt;=Species!$G133,2&lt;=Species!$H133),"H",""))&amp;IF(Species!$I133=2,"S","")</f>
        <v/>
      </c>
      <c r="E133" s="153" t="str">
        <f aca="false">IF(Species!$G133&lt;=Species!$H133,IF(AND(3&gt;=Species!$G133,3&lt;=Species!$H133),"H",""),IF(OR(3&gt;=Species!$G133,3&lt;=Species!$H133),"H",""))&amp;IF(Species!$I133=3,"S","")</f>
        <v/>
      </c>
      <c r="F133" s="153" t="str">
        <f aca="false">IF(Species!$G133&lt;=Species!$H133,IF(AND(4&gt;=Species!$G133,4&lt;=Species!$H133),"H",""),IF(OR(4&gt;=Species!$G133,4&lt;=Species!$H133),"H",""))&amp;IF(Species!$I133=4,"S","")</f>
        <v/>
      </c>
      <c r="G133" s="153" t="str">
        <f aca="false">IF(Species!$G133&lt;=Species!$H133,IF(AND(5&gt;=Species!$G133,5&lt;=Species!$H133),"H",""),IF(OR(5&gt;=Species!$G133,5&lt;=Species!$H133),"H",""))&amp;IF(Species!$I133=5,"S","")</f>
        <v>H</v>
      </c>
      <c r="H133" s="153" t="str">
        <f aca="false">IF(Species!$G133&lt;=Species!$H133,IF(AND(6&gt;=Species!$G133,6&lt;=Species!$H133),"H",""),IF(OR(6&gt;=Species!$G133,6&lt;=Species!$H133),"H",""))&amp;IF(Species!$I133=6,"S","")</f>
        <v>H</v>
      </c>
      <c r="I133" s="153" t="str">
        <f aca="false">IF(Species!$G133&lt;=Species!$H133,IF(AND(7&gt;=Species!$G133,7&lt;=Species!$H133),"H",""),IF(OR(7&gt;=Species!$G133,7&lt;=Species!$H133),"H",""))&amp;IF(Species!$I133=7,"S","")</f>
        <v>H</v>
      </c>
      <c r="J133" s="153" t="str">
        <f aca="false">IF(Species!$G133&lt;=Species!$H133,IF(AND(8&gt;=Species!$G133,8&lt;=Species!$H133),"H",""),IF(OR(8&gt;=Species!$G133,8&lt;=Species!$H133),"H",""))&amp;IF(Species!$I133=8,"S","")</f>
        <v>H</v>
      </c>
      <c r="K133" s="153" t="str">
        <f aca="false">IF(Species!$G133&lt;=Species!$H133,IF(AND(9&gt;=Species!$G133,9&lt;=Species!$H133),"H",""),IF(OR(9&gt;=Species!$G133,9&lt;=Species!$H133),"H",""))&amp;IF(Species!$I133=9,"S","")</f>
        <v>H</v>
      </c>
      <c r="L133" s="153" t="str">
        <f aca="false">IF(Species!$G133&lt;=Species!$H133,IF(AND(10&gt;=Species!$G133,10&lt;=Species!$H133),"H",""),IF(OR(10&gt;=Species!$G133,10&lt;=Species!$H133),"H",""))&amp;IF(Species!$I133=10,"S","")</f>
        <v/>
      </c>
      <c r="M133" s="153" t="str">
        <f aca="false">IF(Species!$G133&lt;=Species!$H133,IF(AND(11&gt;=Species!$G133,11&lt;=Species!$H133),"H",""),IF(OR(11&gt;=Species!$G133,11&lt;=Species!$H133),"H",""))&amp;IF(Species!$I133=11,"S","")</f>
        <v/>
      </c>
      <c r="N133" s="153" t="str">
        <f aca="false">IF(Species!$G133&lt;=Species!$H133,IF(AND(12&gt;=Species!$G133,12&lt;=Species!$H133),"H",""),IF(OR(12&gt;=Species!$G133,12&lt;=Species!$H133),"H",""))&amp;IF(Species!$I133=12,"S","")</f>
        <v/>
      </c>
    </row>
    <row r="134" customFormat="false" ht="15" hidden="false" customHeight="false" outlineLevel="0" collapsed="false">
      <c r="A134" s="6" t="str">
        <f aca="false">Species!B134</f>
        <v>Wild Mint</v>
      </c>
      <c r="B134" s="6" t="str">
        <f aca="false">Species!F134</f>
        <v>Leaf</v>
      </c>
      <c r="C134" s="153" t="str">
        <f aca="false">IF(Species!$G134&lt;=Species!$H134,IF(AND(1&gt;=Species!$G134,1&lt;=Species!$H134),"H",""),IF(OR(1&gt;=Species!$G134,1&lt;=Species!$H134),"H",""))&amp;IF(Species!$I134=1,"S","")</f>
        <v/>
      </c>
      <c r="D134" s="153" t="str">
        <f aca="false">IF(Species!$G134&lt;=Species!$H134,IF(AND(2&gt;=Species!$G134,2&lt;=Species!$H134),"H",""),IF(OR(2&gt;=Species!$G134,2&lt;=Species!$H134),"H",""))&amp;IF(Species!$I134=2,"S","")</f>
        <v/>
      </c>
      <c r="E134" s="153" t="str">
        <f aca="false">IF(Species!$G134&lt;=Species!$H134,IF(AND(3&gt;=Species!$G134,3&lt;=Species!$H134),"H",""),IF(OR(3&gt;=Species!$G134,3&lt;=Species!$H134),"H",""))&amp;IF(Species!$I134=3,"S","")</f>
        <v/>
      </c>
      <c r="F134" s="153" t="str">
        <f aca="false">IF(Species!$G134&lt;=Species!$H134,IF(AND(4&gt;=Species!$G134,4&lt;=Species!$H134),"H",""),IF(OR(4&gt;=Species!$G134,4&lt;=Species!$H134),"H",""))&amp;IF(Species!$I134=4,"S","")</f>
        <v/>
      </c>
      <c r="G134" s="153" t="str">
        <f aca="false">IF(Species!$G134&lt;=Species!$H134,IF(AND(5&gt;=Species!$G134,5&lt;=Species!$H134),"H",""),IF(OR(5&gt;=Species!$G134,5&lt;=Species!$H134),"H",""))&amp;IF(Species!$I134=5,"S","")</f>
        <v/>
      </c>
      <c r="H134" s="153" t="str">
        <f aca="false">IF(Species!$G134&lt;=Species!$H134,IF(AND(6&gt;=Species!$G134,6&lt;=Species!$H134),"H",""),IF(OR(6&gt;=Species!$G134,6&lt;=Species!$H134),"H",""))&amp;IF(Species!$I134=6,"S","")</f>
        <v>H</v>
      </c>
      <c r="I134" s="153" t="str">
        <f aca="false">IF(Species!$G134&lt;=Species!$H134,IF(AND(7&gt;=Species!$G134,7&lt;=Species!$H134),"H",""),IF(OR(7&gt;=Species!$G134,7&lt;=Species!$H134),"H",""))&amp;IF(Species!$I134=7,"S","")</f>
        <v>H</v>
      </c>
      <c r="J134" s="153" t="str">
        <f aca="false">IF(Species!$G134&lt;=Species!$H134,IF(AND(8&gt;=Species!$G134,8&lt;=Species!$H134),"H",""),IF(OR(8&gt;=Species!$G134,8&lt;=Species!$H134),"H",""))&amp;IF(Species!$I134=8,"S","")</f>
        <v>H</v>
      </c>
      <c r="K134" s="153" t="str">
        <f aca="false">IF(Species!$G134&lt;=Species!$H134,IF(AND(9&gt;=Species!$G134,9&lt;=Species!$H134),"H",""),IF(OR(9&gt;=Species!$G134,9&lt;=Species!$H134),"H",""))&amp;IF(Species!$I134=9,"S","")</f>
        <v>HS</v>
      </c>
      <c r="L134" s="153" t="str">
        <f aca="false">IF(Species!$G134&lt;=Species!$H134,IF(AND(10&gt;=Species!$G134,10&lt;=Species!$H134),"H",""),IF(OR(10&gt;=Species!$G134,10&lt;=Species!$H134),"H",""))&amp;IF(Species!$I134=10,"S","")</f>
        <v/>
      </c>
      <c r="M134" s="153" t="str">
        <f aca="false">IF(Species!$G134&lt;=Species!$H134,IF(AND(11&gt;=Species!$G134,11&lt;=Species!$H134),"H",""),IF(OR(11&gt;=Species!$G134,11&lt;=Species!$H134),"H",""))&amp;IF(Species!$I134=11,"S","")</f>
        <v/>
      </c>
      <c r="N134" s="153" t="str">
        <f aca="false">IF(Species!$G134&lt;=Species!$H134,IF(AND(12&gt;=Species!$G134,12&lt;=Species!$H134),"H",""),IF(OR(12&gt;=Species!$G134,12&lt;=Species!$H134),"H",""))&amp;IF(Species!$I134=12,"S","")</f>
        <v/>
      </c>
    </row>
    <row r="135" customFormat="false" ht="15" hidden="false" customHeight="false" outlineLevel="0" collapsed="false">
      <c r="A135" s="6" t="str">
        <f aca="false">Species!B135</f>
        <v>Lemon Balm</v>
      </c>
      <c r="B135" s="6" t="str">
        <f aca="false">Species!F135</f>
        <v>Leaf</v>
      </c>
      <c r="C135" s="153" t="str">
        <f aca="false">IF(Species!$G135&lt;=Species!$H135,IF(AND(1&gt;=Species!$G135,1&lt;=Species!$H135),"H",""),IF(OR(1&gt;=Species!$G135,1&lt;=Species!$H135),"H",""))&amp;IF(Species!$I135=1,"S","")</f>
        <v/>
      </c>
      <c r="D135" s="153" t="str">
        <f aca="false">IF(Species!$G135&lt;=Species!$H135,IF(AND(2&gt;=Species!$G135,2&lt;=Species!$H135),"H",""),IF(OR(2&gt;=Species!$G135,2&lt;=Species!$H135),"H",""))&amp;IF(Species!$I135=2,"S","")</f>
        <v/>
      </c>
      <c r="E135" s="153" t="str">
        <f aca="false">IF(Species!$G135&lt;=Species!$H135,IF(AND(3&gt;=Species!$G135,3&lt;=Species!$H135),"H",""),IF(OR(3&gt;=Species!$G135,3&lt;=Species!$H135),"H",""))&amp;IF(Species!$I135=3,"S","")</f>
        <v/>
      </c>
      <c r="F135" s="153" t="str">
        <f aca="false">IF(Species!$G135&lt;=Species!$H135,IF(AND(4&gt;=Species!$G135,4&lt;=Species!$H135),"H",""),IF(OR(4&gt;=Species!$G135,4&lt;=Species!$H135),"H",""))&amp;IF(Species!$I135=4,"S","")</f>
        <v/>
      </c>
      <c r="G135" s="153" t="str">
        <f aca="false">IF(Species!$G135&lt;=Species!$H135,IF(AND(5&gt;=Species!$G135,5&lt;=Species!$H135),"H",""),IF(OR(5&gt;=Species!$G135,5&lt;=Species!$H135),"H",""))&amp;IF(Species!$I135=5,"S","")</f>
        <v/>
      </c>
      <c r="H135" s="153" t="str">
        <f aca="false">IF(Species!$G135&lt;=Species!$H135,IF(AND(6&gt;=Species!$G135,6&lt;=Species!$H135),"H",""),IF(OR(6&gt;=Species!$G135,6&lt;=Species!$H135),"H",""))&amp;IF(Species!$I135=6,"S","")</f>
        <v>H</v>
      </c>
      <c r="I135" s="153" t="str">
        <f aca="false">IF(Species!$G135&lt;=Species!$H135,IF(AND(7&gt;=Species!$G135,7&lt;=Species!$H135),"H",""),IF(OR(7&gt;=Species!$G135,7&lt;=Species!$H135),"H",""))&amp;IF(Species!$I135=7,"S","")</f>
        <v>H</v>
      </c>
      <c r="J135" s="153" t="str">
        <f aca="false">IF(Species!$G135&lt;=Species!$H135,IF(AND(8&gt;=Species!$G135,8&lt;=Species!$H135),"H",""),IF(OR(8&gt;=Species!$G135,8&lt;=Species!$H135),"H",""))&amp;IF(Species!$I135=8,"S","")</f>
        <v>H</v>
      </c>
      <c r="K135" s="153" t="str">
        <f aca="false">IF(Species!$G135&lt;=Species!$H135,IF(AND(9&gt;=Species!$G135,9&lt;=Species!$H135),"H",""),IF(OR(9&gt;=Species!$G135,9&lt;=Species!$H135),"H",""))&amp;IF(Species!$I135=9,"S","")</f>
        <v>HS</v>
      </c>
      <c r="L135" s="153" t="str">
        <f aca="false">IF(Species!$G135&lt;=Species!$H135,IF(AND(10&gt;=Species!$G135,10&lt;=Species!$H135),"H",""),IF(OR(10&gt;=Species!$G135,10&lt;=Species!$H135),"H",""))&amp;IF(Species!$I135=10,"S","")</f>
        <v/>
      </c>
      <c r="M135" s="153" t="str">
        <f aca="false">IF(Species!$G135&lt;=Species!$H135,IF(AND(11&gt;=Species!$G135,11&lt;=Species!$H135),"H",""),IF(OR(11&gt;=Species!$G135,11&lt;=Species!$H135),"H",""))&amp;IF(Species!$I135=11,"S","")</f>
        <v/>
      </c>
      <c r="N135" s="153" t="str">
        <f aca="false">IF(Species!$G135&lt;=Species!$H135,IF(AND(12&gt;=Species!$G135,12&lt;=Species!$H135),"H",""),IF(OR(12&gt;=Species!$G135,12&lt;=Species!$H135),"H",""))&amp;IF(Species!$I135=12,"S","")</f>
        <v/>
      </c>
    </row>
    <row r="136" customFormat="false" ht="15" hidden="false" customHeight="false" outlineLevel="0" collapsed="false">
      <c r="A136" s="6" t="str">
        <f aca="false">Species!B136</f>
        <v>Comfrey</v>
      </c>
      <c r="B136" s="6" t="str">
        <f aca="false">Species!F136</f>
        <v>Root</v>
      </c>
      <c r="C136" s="153" t="str">
        <f aca="false">IF(Species!$G136&lt;=Species!$H136,IF(AND(1&gt;=Species!$G136,1&lt;=Species!$H136),"H",""),IF(OR(1&gt;=Species!$G136,1&lt;=Species!$H136),"H",""))&amp;IF(Species!$I136=1,"S","")</f>
        <v/>
      </c>
      <c r="D136" s="153" t="str">
        <f aca="false">IF(Species!$G136&lt;=Species!$H136,IF(AND(2&gt;=Species!$G136,2&lt;=Species!$H136),"H",""),IF(OR(2&gt;=Species!$G136,2&lt;=Species!$H136),"H",""))&amp;IF(Species!$I136=2,"S","")</f>
        <v/>
      </c>
      <c r="E136" s="153" t="str">
        <f aca="false">IF(Species!$G136&lt;=Species!$H136,IF(AND(3&gt;=Species!$G136,3&lt;=Species!$H136),"H",""),IF(OR(3&gt;=Species!$G136,3&lt;=Species!$H136),"H",""))&amp;IF(Species!$I136=3,"S","")</f>
        <v>H</v>
      </c>
      <c r="F136" s="153" t="str">
        <f aca="false">IF(Species!$G136&lt;=Species!$H136,IF(AND(4&gt;=Species!$G136,4&lt;=Species!$H136),"H",""),IF(OR(4&gt;=Species!$G136,4&lt;=Species!$H136),"H",""))&amp;IF(Species!$I136=4,"S","")</f>
        <v>H</v>
      </c>
      <c r="G136" s="153" t="str">
        <f aca="false">IF(Species!$G136&lt;=Species!$H136,IF(AND(5&gt;=Species!$G136,5&lt;=Species!$H136),"H",""),IF(OR(5&gt;=Species!$G136,5&lt;=Species!$H136),"H",""))&amp;IF(Species!$I136=5,"S","")</f>
        <v>H</v>
      </c>
      <c r="H136" s="153" t="str">
        <f aca="false">IF(Species!$G136&lt;=Species!$H136,IF(AND(6&gt;=Species!$G136,6&lt;=Species!$H136),"H",""),IF(OR(6&gt;=Species!$G136,6&lt;=Species!$H136),"H",""))&amp;IF(Species!$I136=6,"S","")</f>
        <v>H</v>
      </c>
      <c r="I136" s="153" t="str">
        <f aca="false">IF(Species!$G136&lt;=Species!$H136,IF(AND(7&gt;=Species!$G136,7&lt;=Species!$H136),"H",""),IF(OR(7&gt;=Species!$G136,7&lt;=Species!$H136),"H",""))&amp;IF(Species!$I136=7,"S","")</f>
        <v>H</v>
      </c>
      <c r="J136" s="153" t="str">
        <f aca="false">IF(Species!$G136&lt;=Species!$H136,IF(AND(8&gt;=Species!$G136,8&lt;=Species!$H136),"H",""),IF(OR(8&gt;=Species!$G136,8&lt;=Species!$H136),"H",""))&amp;IF(Species!$I136=8,"S","")</f>
        <v>H</v>
      </c>
      <c r="K136" s="153" t="str">
        <f aca="false">IF(Species!$G136&lt;=Species!$H136,IF(AND(9&gt;=Species!$G136,9&lt;=Species!$H136),"H",""),IF(OR(9&gt;=Species!$G136,9&lt;=Species!$H136),"H",""))&amp;IF(Species!$I136=9,"S","")</f>
        <v>H</v>
      </c>
      <c r="L136" s="153" t="str">
        <f aca="false">IF(Species!$G136&lt;=Species!$H136,IF(AND(10&gt;=Species!$G136,10&lt;=Species!$H136),"H",""),IF(OR(10&gt;=Species!$G136,10&lt;=Species!$H136),"H",""))&amp;IF(Species!$I136=10,"S","")</f>
        <v>H</v>
      </c>
      <c r="M136" s="153" t="str">
        <f aca="false">IF(Species!$G136&lt;=Species!$H136,IF(AND(11&gt;=Species!$G136,11&lt;=Species!$H136),"H",""),IF(OR(11&gt;=Species!$G136,11&lt;=Species!$H136),"H",""))&amp;IF(Species!$I136=11,"S","")</f>
        <v>H</v>
      </c>
      <c r="N136" s="153" t="str">
        <f aca="false">IF(Species!$G136&lt;=Species!$H136,IF(AND(12&gt;=Species!$G136,12&lt;=Species!$H136),"H",""),IF(OR(12&gt;=Species!$G136,12&lt;=Species!$H136),"H",""))&amp;IF(Species!$I136=12,"S","")</f>
        <v/>
      </c>
    </row>
    <row r="137" customFormat="false" ht="15" hidden="false" customHeight="false" outlineLevel="0" collapsed="false">
      <c r="A137" s="6" t="str">
        <f aca="false">Species!B137</f>
        <v>Feverfew</v>
      </c>
      <c r="B137" s="6" t="str">
        <f aca="false">Species!F137</f>
        <v>Leaf</v>
      </c>
      <c r="C137" s="153" t="str">
        <f aca="false">IF(Species!$G137&lt;=Species!$H137,IF(AND(1&gt;=Species!$G137,1&lt;=Species!$H137),"H",""),IF(OR(1&gt;=Species!$G137,1&lt;=Species!$H137),"H",""))&amp;IF(Species!$I137=1,"S","")</f>
        <v/>
      </c>
      <c r="D137" s="153" t="str">
        <f aca="false">IF(Species!$G137&lt;=Species!$H137,IF(AND(2&gt;=Species!$G137,2&lt;=Species!$H137),"H",""),IF(OR(2&gt;=Species!$G137,2&lt;=Species!$H137),"H",""))&amp;IF(Species!$I137=2,"S","")</f>
        <v/>
      </c>
      <c r="E137" s="153" t="str">
        <f aca="false">IF(Species!$G137&lt;=Species!$H137,IF(AND(3&gt;=Species!$G137,3&lt;=Species!$H137),"H",""),IF(OR(3&gt;=Species!$G137,3&lt;=Species!$H137),"H",""))&amp;IF(Species!$I137=3,"S","")</f>
        <v/>
      </c>
      <c r="F137" s="153" t="str">
        <f aca="false">IF(Species!$G137&lt;=Species!$H137,IF(AND(4&gt;=Species!$G137,4&lt;=Species!$H137),"H",""),IF(OR(4&gt;=Species!$G137,4&lt;=Species!$H137),"H",""))&amp;IF(Species!$I137=4,"S","")</f>
        <v/>
      </c>
      <c r="G137" s="153" t="str">
        <f aca="false">IF(Species!$G137&lt;=Species!$H137,IF(AND(5&gt;=Species!$G137,5&lt;=Species!$H137),"H",""),IF(OR(5&gt;=Species!$G137,5&lt;=Species!$H137),"H",""))&amp;IF(Species!$I137=5,"S","")</f>
        <v/>
      </c>
      <c r="H137" s="153" t="str">
        <f aca="false">IF(Species!$G137&lt;=Species!$H137,IF(AND(6&gt;=Species!$G137,6&lt;=Species!$H137),"H",""),IF(OR(6&gt;=Species!$G137,6&lt;=Species!$H137),"H",""))&amp;IF(Species!$I137=6,"S","")</f>
        <v>H</v>
      </c>
      <c r="I137" s="153" t="str">
        <f aca="false">IF(Species!$G137&lt;=Species!$H137,IF(AND(7&gt;=Species!$G137,7&lt;=Species!$H137),"H",""),IF(OR(7&gt;=Species!$G137,7&lt;=Species!$H137),"H",""))&amp;IF(Species!$I137=7,"S","")</f>
        <v>H</v>
      </c>
      <c r="J137" s="153" t="str">
        <f aca="false">IF(Species!$G137&lt;=Species!$H137,IF(AND(8&gt;=Species!$G137,8&lt;=Species!$H137),"H",""),IF(OR(8&gt;=Species!$G137,8&lt;=Species!$H137),"H",""))&amp;IF(Species!$I137=8,"S","")</f>
        <v>H</v>
      </c>
      <c r="K137" s="153" t="str">
        <f aca="false">IF(Species!$G137&lt;=Species!$H137,IF(AND(9&gt;=Species!$G137,9&lt;=Species!$H137),"H",""),IF(OR(9&gt;=Species!$G137,9&lt;=Species!$H137),"H",""))&amp;IF(Species!$I137=9,"S","")</f>
        <v>HS</v>
      </c>
      <c r="L137" s="153" t="str">
        <f aca="false">IF(Species!$G137&lt;=Species!$H137,IF(AND(10&gt;=Species!$G137,10&lt;=Species!$H137),"H",""),IF(OR(10&gt;=Species!$G137,10&lt;=Species!$H137),"H",""))&amp;IF(Species!$I137=10,"S","")</f>
        <v/>
      </c>
      <c r="M137" s="153" t="str">
        <f aca="false">IF(Species!$G137&lt;=Species!$H137,IF(AND(11&gt;=Species!$G137,11&lt;=Species!$H137),"H",""),IF(OR(11&gt;=Species!$G137,11&lt;=Species!$H137),"H",""))&amp;IF(Species!$I137=11,"S","")</f>
        <v/>
      </c>
      <c r="N137" s="153" t="str">
        <f aca="false">IF(Species!$G137&lt;=Species!$H137,IF(AND(12&gt;=Species!$G137,12&lt;=Species!$H137),"H",""),IF(OR(12&gt;=Species!$G137,12&lt;=Species!$H137),"H",""))&amp;IF(Species!$I137=12,"S","")</f>
        <v/>
      </c>
    </row>
    <row r="138" customFormat="false" ht="15" hidden="false" customHeight="false" outlineLevel="0" collapsed="false">
      <c r="A138" s="6" t="str">
        <f aca="false">Species!B138</f>
        <v>Common Tansy</v>
      </c>
      <c r="B138" s="6" t="str">
        <f aca="false">Species!F138</f>
        <v>Flower</v>
      </c>
      <c r="C138" s="153" t="str">
        <f aca="false">IF(Species!$G138&lt;=Species!$H138,IF(AND(1&gt;=Species!$G138,1&lt;=Species!$H138),"H",""),IF(OR(1&gt;=Species!$G138,1&lt;=Species!$H138),"H",""))&amp;IF(Species!$I138=1,"S","")</f>
        <v/>
      </c>
      <c r="D138" s="153" t="str">
        <f aca="false">IF(Species!$G138&lt;=Species!$H138,IF(AND(2&gt;=Species!$G138,2&lt;=Species!$H138),"H",""),IF(OR(2&gt;=Species!$G138,2&lt;=Species!$H138),"H",""))&amp;IF(Species!$I138=2,"S","")</f>
        <v/>
      </c>
      <c r="E138" s="153" t="str">
        <f aca="false">IF(Species!$G138&lt;=Species!$H138,IF(AND(3&gt;=Species!$G138,3&lt;=Species!$H138),"H",""),IF(OR(3&gt;=Species!$G138,3&lt;=Species!$H138),"H",""))&amp;IF(Species!$I138=3,"S","")</f>
        <v/>
      </c>
      <c r="F138" s="153" t="str">
        <f aca="false">IF(Species!$G138&lt;=Species!$H138,IF(AND(4&gt;=Species!$G138,4&lt;=Species!$H138),"H",""),IF(OR(4&gt;=Species!$G138,4&lt;=Species!$H138),"H",""))&amp;IF(Species!$I138=4,"S","")</f>
        <v/>
      </c>
      <c r="G138" s="153" t="str">
        <f aca="false">IF(Species!$G138&lt;=Species!$H138,IF(AND(5&gt;=Species!$G138,5&lt;=Species!$H138),"H",""),IF(OR(5&gt;=Species!$G138,5&lt;=Species!$H138),"H",""))&amp;IF(Species!$I138=5,"S","")</f>
        <v/>
      </c>
      <c r="H138" s="153" t="str">
        <f aca="false">IF(Species!$G138&lt;=Species!$H138,IF(AND(6&gt;=Species!$G138,6&lt;=Species!$H138),"H",""),IF(OR(6&gt;=Species!$G138,6&lt;=Species!$H138),"H",""))&amp;IF(Species!$I138=6,"S","")</f>
        <v/>
      </c>
      <c r="I138" s="153" t="str">
        <f aca="false">IF(Species!$G138&lt;=Species!$H138,IF(AND(7&gt;=Species!$G138,7&lt;=Species!$H138),"H",""),IF(OR(7&gt;=Species!$G138,7&lt;=Species!$H138),"H",""))&amp;IF(Species!$I138=7,"S","")</f>
        <v>H</v>
      </c>
      <c r="J138" s="153" t="str">
        <f aca="false">IF(Species!$G138&lt;=Species!$H138,IF(AND(8&gt;=Species!$G138,8&lt;=Species!$H138),"H",""),IF(OR(8&gt;=Species!$G138,8&lt;=Species!$H138),"H",""))&amp;IF(Species!$I138=8,"S","")</f>
        <v>H</v>
      </c>
      <c r="K138" s="153" t="str">
        <f aca="false">IF(Species!$G138&lt;=Species!$H138,IF(AND(9&gt;=Species!$G138,9&lt;=Species!$H138),"H",""),IF(OR(9&gt;=Species!$G138,9&lt;=Species!$H138),"H",""))&amp;IF(Species!$I138=9,"S","")</f>
        <v>HS</v>
      </c>
      <c r="L138" s="153" t="str">
        <f aca="false">IF(Species!$G138&lt;=Species!$H138,IF(AND(10&gt;=Species!$G138,10&lt;=Species!$H138),"H",""),IF(OR(10&gt;=Species!$G138,10&lt;=Species!$H138),"H",""))&amp;IF(Species!$I138=10,"S","")</f>
        <v/>
      </c>
      <c r="M138" s="153" t="str">
        <f aca="false">IF(Species!$G138&lt;=Species!$H138,IF(AND(11&gt;=Species!$G138,11&lt;=Species!$H138),"H",""),IF(OR(11&gt;=Species!$G138,11&lt;=Species!$H138),"H",""))&amp;IF(Species!$I138=11,"S","")</f>
        <v/>
      </c>
      <c r="N138" s="153" t="str">
        <f aca="false">IF(Species!$G138&lt;=Species!$H138,IF(AND(12&gt;=Species!$G138,12&lt;=Species!$H138),"H",""),IF(OR(12&gt;=Species!$G138,12&lt;=Species!$H138),"H",""))&amp;IF(Species!$I138=12,"S","")</f>
        <v/>
      </c>
    </row>
    <row r="139" customFormat="false" ht="15" hidden="false" customHeight="false" outlineLevel="0" collapsed="false">
      <c r="A139" s="6" t="str">
        <f aca="false">Species!B139</f>
        <v>Wormwood</v>
      </c>
      <c r="B139" s="6" t="str">
        <f aca="false">Species!F139</f>
        <v>Leaf</v>
      </c>
      <c r="C139" s="153" t="str">
        <f aca="false">IF(Species!$G139&lt;=Species!$H139,IF(AND(1&gt;=Species!$G139,1&lt;=Species!$H139),"H",""),IF(OR(1&gt;=Species!$G139,1&lt;=Species!$H139),"H",""))&amp;IF(Species!$I139=1,"S","")</f>
        <v/>
      </c>
      <c r="D139" s="153" t="str">
        <f aca="false">IF(Species!$G139&lt;=Species!$H139,IF(AND(2&gt;=Species!$G139,2&lt;=Species!$H139),"H",""),IF(OR(2&gt;=Species!$G139,2&lt;=Species!$H139),"H",""))&amp;IF(Species!$I139=2,"S","")</f>
        <v/>
      </c>
      <c r="E139" s="153" t="str">
        <f aca="false">IF(Species!$G139&lt;=Species!$H139,IF(AND(3&gt;=Species!$G139,3&lt;=Species!$H139),"H",""),IF(OR(3&gt;=Species!$G139,3&lt;=Species!$H139),"H",""))&amp;IF(Species!$I139=3,"S","")</f>
        <v/>
      </c>
      <c r="F139" s="153" t="str">
        <f aca="false">IF(Species!$G139&lt;=Species!$H139,IF(AND(4&gt;=Species!$G139,4&lt;=Species!$H139),"H",""),IF(OR(4&gt;=Species!$G139,4&lt;=Species!$H139),"H",""))&amp;IF(Species!$I139=4,"S","")</f>
        <v/>
      </c>
      <c r="G139" s="153" t="str">
        <f aca="false">IF(Species!$G139&lt;=Species!$H139,IF(AND(5&gt;=Species!$G139,5&lt;=Species!$H139),"H",""),IF(OR(5&gt;=Species!$G139,5&lt;=Species!$H139),"H",""))&amp;IF(Species!$I139=5,"S","")</f>
        <v/>
      </c>
      <c r="H139" s="153" t="str">
        <f aca="false">IF(Species!$G139&lt;=Species!$H139,IF(AND(6&gt;=Species!$G139,6&lt;=Species!$H139),"H",""),IF(OR(6&gt;=Species!$G139,6&lt;=Species!$H139),"H",""))&amp;IF(Species!$I139=6,"S","")</f>
        <v/>
      </c>
      <c r="I139" s="153" t="str">
        <f aca="false">IF(Species!$G139&lt;=Species!$H139,IF(AND(7&gt;=Species!$G139,7&lt;=Species!$H139),"H",""),IF(OR(7&gt;=Species!$G139,7&lt;=Species!$H139),"H",""))&amp;IF(Species!$I139=7,"S","")</f>
        <v>H</v>
      </c>
      <c r="J139" s="153" t="str">
        <f aca="false">IF(Species!$G139&lt;=Species!$H139,IF(AND(8&gt;=Species!$G139,8&lt;=Species!$H139),"H",""),IF(OR(8&gt;=Species!$G139,8&lt;=Species!$H139),"H",""))&amp;IF(Species!$I139=8,"S","")</f>
        <v>H</v>
      </c>
      <c r="K139" s="153" t="str">
        <f aca="false">IF(Species!$G139&lt;=Species!$H139,IF(AND(9&gt;=Species!$G139,9&lt;=Species!$H139),"H",""),IF(OR(9&gt;=Species!$G139,9&lt;=Species!$H139),"H",""))&amp;IF(Species!$I139=9,"S","")</f>
        <v>HS</v>
      </c>
      <c r="L139" s="153" t="str">
        <f aca="false">IF(Species!$G139&lt;=Species!$H139,IF(AND(10&gt;=Species!$G139,10&lt;=Species!$H139),"H",""),IF(OR(10&gt;=Species!$G139,10&lt;=Species!$H139),"H",""))&amp;IF(Species!$I139=10,"S","")</f>
        <v/>
      </c>
      <c r="M139" s="153" t="str">
        <f aca="false">IF(Species!$G139&lt;=Species!$H139,IF(AND(11&gt;=Species!$G139,11&lt;=Species!$H139),"H",""),IF(OR(11&gt;=Species!$G139,11&lt;=Species!$H139),"H",""))&amp;IF(Species!$I139=11,"S","")</f>
        <v/>
      </c>
      <c r="N139" s="153" t="str">
        <f aca="false">IF(Species!$G139&lt;=Species!$H139,IF(AND(12&gt;=Species!$G139,12&lt;=Species!$H139),"H",""),IF(OR(12&gt;=Species!$G139,12&lt;=Species!$H139),"H",""))&amp;IF(Species!$I139=12,"S","")</f>
        <v/>
      </c>
    </row>
    <row r="140" customFormat="false" ht="15" hidden="false" customHeight="false" outlineLevel="0" collapsed="false">
      <c r="A140" s="6" t="str">
        <f aca="false">Species!B140</f>
        <v>Mugwort</v>
      </c>
      <c r="B140" s="6" t="str">
        <f aca="false">Species!F140</f>
        <v>Leaf</v>
      </c>
      <c r="C140" s="153" t="str">
        <f aca="false">IF(Species!$G140&lt;=Species!$H140,IF(AND(1&gt;=Species!$G140,1&lt;=Species!$H140),"H",""),IF(OR(1&gt;=Species!$G140,1&lt;=Species!$H140),"H",""))&amp;IF(Species!$I140=1,"S","")</f>
        <v/>
      </c>
      <c r="D140" s="153" t="str">
        <f aca="false">IF(Species!$G140&lt;=Species!$H140,IF(AND(2&gt;=Species!$G140,2&lt;=Species!$H140),"H",""),IF(OR(2&gt;=Species!$G140,2&lt;=Species!$H140),"H",""))&amp;IF(Species!$I140=2,"S","")</f>
        <v/>
      </c>
      <c r="E140" s="153" t="str">
        <f aca="false">IF(Species!$G140&lt;=Species!$H140,IF(AND(3&gt;=Species!$G140,3&lt;=Species!$H140),"H",""),IF(OR(3&gt;=Species!$G140,3&lt;=Species!$H140),"H",""))&amp;IF(Species!$I140=3,"S","")</f>
        <v/>
      </c>
      <c r="F140" s="153" t="str">
        <f aca="false">IF(Species!$G140&lt;=Species!$H140,IF(AND(4&gt;=Species!$G140,4&lt;=Species!$H140),"H",""),IF(OR(4&gt;=Species!$G140,4&lt;=Species!$H140),"H",""))&amp;IF(Species!$I140=4,"S","")</f>
        <v/>
      </c>
      <c r="G140" s="153" t="str">
        <f aca="false">IF(Species!$G140&lt;=Species!$H140,IF(AND(5&gt;=Species!$G140,5&lt;=Species!$H140),"H",""),IF(OR(5&gt;=Species!$G140,5&lt;=Species!$H140),"H",""))&amp;IF(Species!$I140=5,"S","")</f>
        <v/>
      </c>
      <c r="H140" s="153" t="str">
        <f aca="false">IF(Species!$G140&lt;=Species!$H140,IF(AND(6&gt;=Species!$G140,6&lt;=Species!$H140),"H",""),IF(OR(6&gt;=Species!$G140,6&lt;=Species!$H140),"H",""))&amp;IF(Species!$I140=6,"S","")</f>
        <v/>
      </c>
      <c r="I140" s="153" t="str">
        <f aca="false">IF(Species!$G140&lt;=Species!$H140,IF(AND(7&gt;=Species!$G140,7&lt;=Species!$H140),"H",""),IF(OR(7&gt;=Species!$G140,7&lt;=Species!$H140),"H",""))&amp;IF(Species!$I140=7,"S","")</f>
        <v>H</v>
      </c>
      <c r="J140" s="153" t="str">
        <f aca="false">IF(Species!$G140&lt;=Species!$H140,IF(AND(8&gt;=Species!$G140,8&lt;=Species!$H140),"H",""),IF(OR(8&gt;=Species!$G140,8&lt;=Species!$H140),"H",""))&amp;IF(Species!$I140=8,"S","")</f>
        <v>H</v>
      </c>
      <c r="K140" s="153" t="str">
        <f aca="false">IF(Species!$G140&lt;=Species!$H140,IF(AND(9&gt;=Species!$G140,9&lt;=Species!$H140),"H",""),IF(OR(9&gt;=Species!$G140,9&lt;=Species!$H140),"H",""))&amp;IF(Species!$I140=9,"S","")</f>
        <v>HS</v>
      </c>
      <c r="L140" s="153" t="str">
        <f aca="false">IF(Species!$G140&lt;=Species!$H140,IF(AND(10&gt;=Species!$G140,10&lt;=Species!$H140),"H",""),IF(OR(10&gt;=Species!$G140,10&lt;=Species!$H140),"H",""))&amp;IF(Species!$I140=10,"S","")</f>
        <v/>
      </c>
      <c r="M140" s="153" t="str">
        <f aca="false">IF(Species!$G140&lt;=Species!$H140,IF(AND(11&gt;=Species!$G140,11&lt;=Species!$H140),"H",""),IF(OR(11&gt;=Species!$G140,11&lt;=Species!$H140),"H",""))&amp;IF(Species!$I140=11,"S","")</f>
        <v/>
      </c>
      <c r="N140" s="153" t="str">
        <f aca="false">IF(Species!$G140&lt;=Species!$H140,IF(AND(12&gt;=Species!$G140,12&lt;=Species!$H140),"H",""),IF(OR(12&gt;=Species!$G140,12&lt;=Species!$H140),"H",""))&amp;IF(Species!$I140=12,"S","")</f>
        <v/>
      </c>
    </row>
    <row r="141" customFormat="false" ht="15" hidden="false" customHeight="false" outlineLevel="0" collapsed="false">
      <c r="A141" s="6" t="str">
        <f aca="false">Species!B141</f>
        <v>Garden Sage (escaped)</v>
      </c>
      <c r="B141" s="6" t="str">
        <f aca="false">Species!F141</f>
        <v>Leaf</v>
      </c>
      <c r="C141" s="153" t="str">
        <f aca="false">IF(Species!$G141&lt;=Species!$H141,IF(AND(1&gt;=Species!$G141,1&lt;=Species!$H141),"H",""),IF(OR(1&gt;=Species!$G141,1&lt;=Species!$H141),"H",""))&amp;IF(Species!$I141=1,"S","")</f>
        <v/>
      </c>
      <c r="D141" s="153" t="str">
        <f aca="false">IF(Species!$G141&lt;=Species!$H141,IF(AND(2&gt;=Species!$G141,2&lt;=Species!$H141),"H",""),IF(OR(2&gt;=Species!$G141,2&lt;=Species!$H141),"H",""))&amp;IF(Species!$I141=2,"S","")</f>
        <v/>
      </c>
      <c r="E141" s="153" t="str">
        <f aca="false">IF(Species!$G141&lt;=Species!$H141,IF(AND(3&gt;=Species!$G141,3&lt;=Species!$H141),"H",""),IF(OR(3&gt;=Species!$G141,3&lt;=Species!$H141),"H",""))&amp;IF(Species!$I141=3,"S","")</f>
        <v/>
      </c>
      <c r="F141" s="153" t="str">
        <f aca="false">IF(Species!$G141&lt;=Species!$H141,IF(AND(4&gt;=Species!$G141,4&lt;=Species!$H141),"H",""),IF(OR(4&gt;=Species!$G141,4&lt;=Species!$H141),"H",""))&amp;IF(Species!$I141=4,"S","")</f>
        <v/>
      </c>
      <c r="G141" s="153" t="str">
        <f aca="false">IF(Species!$G141&lt;=Species!$H141,IF(AND(5&gt;=Species!$G141,5&lt;=Species!$H141),"H",""),IF(OR(5&gt;=Species!$G141,5&lt;=Species!$H141),"H",""))&amp;IF(Species!$I141=5,"S","")</f>
        <v>H</v>
      </c>
      <c r="H141" s="153" t="str">
        <f aca="false">IF(Species!$G141&lt;=Species!$H141,IF(AND(6&gt;=Species!$G141,6&lt;=Species!$H141),"H",""),IF(OR(6&gt;=Species!$G141,6&lt;=Species!$H141),"H",""))&amp;IF(Species!$I141=6,"S","")</f>
        <v>H</v>
      </c>
      <c r="I141" s="153" t="str">
        <f aca="false">IF(Species!$G141&lt;=Species!$H141,IF(AND(7&gt;=Species!$G141,7&lt;=Species!$H141),"H",""),IF(OR(7&gt;=Species!$G141,7&lt;=Species!$H141),"H",""))&amp;IF(Species!$I141=7,"S","")</f>
        <v>H</v>
      </c>
      <c r="J141" s="153" t="str">
        <f aca="false">IF(Species!$G141&lt;=Species!$H141,IF(AND(8&gt;=Species!$G141,8&lt;=Species!$H141),"H",""),IF(OR(8&gt;=Species!$G141,8&lt;=Species!$H141),"H",""))&amp;IF(Species!$I141=8,"S","")</f>
        <v>H</v>
      </c>
      <c r="K141" s="153" t="str">
        <f aca="false">IF(Species!$G141&lt;=Species!$H141,IF(AND(9&gt;=Species!$G141,9&lt;=Species!$H141),"H",""),IF(OR(9&gt;=Species!$G141,9&lt;=Species!$H141),"H",""))&amp;IF(Species!$I141=9,"S","")</f>
        <v>H</v>
      </c>
      <c r="L141" s="153" t="str">
        <f aca="false">IF(Species!$G141&lt;=Species!$H141,IF(AND(10&gt;=Species!$G141,10&lt;=Species!$H141),"H",""),IF(OR(10&gt;=Species!$G141,10&lt;=Species!$H141),"H",""))&amp;IF(Species!$I141=10,"S","")</f>
        <v>H</v>
      </c>
      <c r="M141" s="153" t="str">
        <f aca="false">IF(Species!$G141&lt;=Species!$H141,IF(AND(11&gt;=Species!$G141,11&lt;=Species!$H141),"H",""),IF(OR(11&gt;=Species!$G141,11&lt;=Species!$H141),"H",""))&amp;IF(Species!$I141=11,"S","")</f>
        <v/>
      </c>
      <c r="N141" s="153" t="str">
        <f aca="false">IF(Species!$G141&lt;=Species!$H141,IF(AND(12&gt;=Species!$G141,12&lt;=Species!$H141),"H",""),IF(OR(12&gt;=Species!$G141,12&lt;=Species!$H141),"H",""))&amp;IF(Species!$I141=12,"S","")</f>
        <v/>
      </c>
    </row>
    <row r="142" customFormat="false" ht="15" hidden="false" customHeight="false" outlineLevel="0" collapsed="false">
      <c r="A142" s="6" t="str">
        <f aca="false">Species!B142</f>
        <v>Horseradish</v>
      </c>
      <c r="B142" s="6" t="str">
        <f aca="false">Species!F142</f>
        <v>Root</v>
      </c>
      <c r="C142" s="153" t="str">
        <f aca="false">IF(Species!$G142&lt;=Species!$H142,IF(AND(1&gt;=Species!$G142,1&lt;=Species!$H142),"H",""),IF(OR(1&gt;=Species!$G142,1&lt;=Species!$H142),"H",""))&amp;IF(Species!$I142=1,"S","")</f>
        <v>H</v>
      </c>
      <c r="D142" s="153" t="str">
        <f aca="false">IF(Species!$G142&lt;=Species!$H142,IF(AND(2&gt;=Species!$G142,2&lt;=Species!$H142),"H",""),IF(OR(2&gt;=Species!$G142,2&lt;=Species!$H142),"H",""))&amp;IF(Species!$I142=2,"S","")</f>
        <v>H</v>
      </c>
      <c r="E142" s="153" t="str">
        <f aca="false">IF(Species!$G142&lt;=Species!$H142,IF(AND(3&gt;=Species!$G142,3&lt;=Species!$H142),"H",""),IF(OR(3&gt;=Species!$G142,3&lt;=Species!$H142),"H",""))&amp;IF(Species!$I142=3,"S","")</f>
        <v>H</v>
      </c>
      <c r="F142" s="153" t="str">
        <f aca="false">IF(Species!$G142&lt;=Species!$H142,IF(AND(4&gt;=Species!$G142,4&lt;=Species!$H142),"H",""),IF(OR(4&gt;=Species!$G142,4&lt;=Species!$H142),"H",""))&amp;IF(Species!$I142=4,"S","")</f>
        <v>H</v>
      </c>
      <c r="G142" s="153" t="str">
        <f aca="false">IF(Species!$G142&lt;=Species!$H142,IF(AND(5&gt;=Species!$G142,5&lt;=Species!$H142),"H",""),IF(OR(5&gt;=Species!$G142,5&lt;=Species!$H142),"H",""))&amp;IF(Species!$I142=5,"S","")</f>
        <v/>
      </c>
      <c r="H142" s="153" t="str">
        <f aca="false">IF(Species!$G142&lt;=Species!$H142,IF(AND(6&gt;=Species!$G142,6&lt;=Species!$H142),"H",""),IF(OR(6&gt;=Species!$G142,6&lt;=Species!$H142),"H",""))&amp;IF(Species!$I142=6,"S","")</f>
        <v/>
      </c>
      <c r="I142" s="153" t="str">
        <f aca="false">IF(Species!$G142&lt;=Species!$H142,IF(AND(7&gt;=Species!$G142,7&lt;=Species!$H142),"H",""),IF(OR(7&gt;=Species!$G142,7&lt;=Species!$H142),"H",""))&amp;IF(Species!$I142=7,"S","")</f>
        <v/>
      </c>
      <c r="J142" s="153" t="str">
        <f aca="false">IF(Species!$G142&lt;=Species!$H142,IF(AND(8&gt;=Species!$G142,8&lt;=Species!$H142),"H",""),IF(OR(8&gt;=Species!$G142,8&lt;=Species!$H142),"H",""))&amp;IF(Species!$I142=8,"S","")</f>
        <v/>
      </c>
      <c r="K142" s="153" t="str">
        <f aca="false">IF(Species!$G142&lt;=Species!$H142,IF(AND(9&gt;=Species!$G142,9&lt;=Species!$H142),"H",""),IF(OR(9&gt;=Species!$G142,9&lt;=Species!$H142),"H",""))&amp;IF(Species!$I142=9,"S","")</f>
        <v>H</v>
      </c>
      <c r="L142" s="153" t="str">
        <f aca="false">IF(Species!$G142&lt;=Species!$H142,IF(AND(10&gt;=Species!$G142,10&lt;=Species!$H142),"H",""),IF(OR(10&gt;=Species!$G142,10&lt;=Species!$H142),"H",""))&amp;IF(Species!$I142=10,"S","")</f>
        <v>H</v>
      </c>
      <c r="M142" s="153" t="str">
        <f aca="false">IF(Species!$G142&lt;=Species!$H142,IF(AND(11&gt;=Species!$G142,11&lt;=Species!$H142),"H",""),IF(OR(11&gt;=Species!$G142,11&lt;=Species!$H142),"H",""))&amp;IF(Species!$I142=11,"S","")</f>
        <v>H</v>
      </c>
      <c r="N142" s="153" t="str">
        <f aca="false">IF(Species!$G142&lt;=Species!$H142,IF(AND(12&gt;=Species!$G142,12&lt;=Species!$H142),"H",""),IF(OR(12&gt;=Species!$G142,12&lt;=Species!$H142),"H",""))&amp;IF(Species!$I142=12,"S","")</f>
        <v>H</v>
      </c>
    </row>
    <row r="143" customFormat="false" ht="15" hidden="false" customHeight="false" outlineLevel="0" collapsed="false">
      <c r="A143" s="6" t="str">
        <f aca="false">Species!B143</f>
        <v>Calendula (escaped)</v>
      </c>
      <c r="B143" s="6" t="str">
        <f aca="false">Species!F143</f>
        <v>Flower</v>
      </c>
      <c r="C143" s="153" t="str">
        <f aca="false">IF(Species!$G143&lt;=Species!$H143,IF(AND(1&gt;=Species!$G143,1&lt;=Species!$H143),"H",""),IF(OR(1&gt;=Species!$G143,1&lt;=Species!$H143),"H",""))&amp;IF(Species!$I143=1,"S","")</f>
        <v/>
      </c>
      <c r="D143" s="153" t="str">
        <f aca="false">IF(Species!$G143&lt;=Species!$H143,IF(AND(2&gt;=Species!$G143,2&lt;=Species!$H143),"H",""),IF(OR(2&gt;=Species!$G143,2&lt;=Species!$H143),"H",""))&amp;IF(Species!$I143=2,"S","")</f>
        <v/>
      </c>
      <c r="E143" s="153" t="str">
        <f aca="false">IF(Species!$G143&lt;=Species!$H143,IF(AND(3&gt;=Species!$G143,3&lt;=Species!$H143),"H",""),IF(OR(3&gt;=Species!$G143,3&lt;=Species!$H143),"H",""))&amp;IF(Species!$I143=3,"S","")</f>
        <v/>
      </c>
      <c r="F143" s="153" t="str">
        <f aca="false">IF(Species!$G143&lt;=Species!$H143,IF(AND(4&gt;=Species!$G143,4&lt;=Species!$H143),"H",""),IF(OR(4&gt;=Species!$G143,4&lt;=Species!$H143),"H",""))&amp;IF(Species!$I143=4,"S","")</f>
        <v/>
      </c>
      <c r="G143" s="153" t="str">
        <f aca="false">IF(Species!$G143&lt;=Species!$H143,IF(AND(5&gt;=Species!$G143,5&lt;=Species!$H143),"H",""),IF(OR(5&gt;=Species!$G143,5&lt;=Species!$H143),"H",""))&amp;IF(Species!$I143=5,"S","")</f>
        <v/>
      </c>
      <c r="H143" s="153" t="str">
        <f aca="false">IF(Species!$G143&lt;=Species!$H143,IF(AND(6&gt;=Species!$G143,6&lt;=Species!$H143),"H",""),IF(OR(6&gt;=Species!$G143,6&lt;=Species!$H143),"H",""))&amp;IF(Species!$I143=6,"S","")</f>
        <v>H</v>
      </c>
      <c r="I143" s="153" t="str">
        <f aca="false">IF(Species!$G143&lt;=Species!$H143,IF(AND(7&gt;=Species!$G143,7&lt;=Species!$H143),"H",""),IF(OR(7&gt;=Species!$G143,7&lt;=Species!$H143),"H",""))&amp;IF(Species!$I143=7,"S","")</f>
        <v>H</v>
      </c>
      <c r="J143" s="153" t="str">
        <f aca="false">IF(Species!$G143&lt;=Species!$H143,IF(AND(8&gt;=Species!$G143,8&lt;=Species!$H143),"H",""),IF(OR(8&gt;=Species!$G143,8&lt;=Species!$H143),"H",""))&amp;IF(Species!$I143=8,"S","")</f>
        <v>H</v>
      </c>
      <c r="K143" s="153" t="str">
        <f aca="false">IF(Species!$G143&lt;=Species!$H143,IF(AND(9&gt;=Species!$G143,9&lt;=Species!$H143),"H",""),IF(OR(9&gt;=Species!$G143,9&lt;=Species!$H143),"H",""))&amp;IF(Species!$I143=9,"S","")</f>
        <v>HS</v>
      </c>
      <c r="L143" s="153" t="str">
        <f aca="false">IF(Species!$G143&lt;=Species!$H143,IF(AND(10&gt;=Species!$G143,10&lt;=Species!$H143),"H",""),IF(OR(10&gt;=Species!$G143,10&lt;=Species!$H143),"H",""))&amp;IF(Species!$I143=10,"S","")</f>
        <v>H</v>
      </c>
      <c r="M143" s="153" t="str">
        <f aca="false">IF(Species!$G143&lt;=Species!$H143,IF(AND(11&gt;=Species!$G143,11&lt;=Species!$H143),"H",""),IF(OR(11&gt;=Species!$G143,11&lt;=Species!$H143),"H",""))&amp;IF(Species!$I143=11,"S","")</f>
        <v/>
      </c>
      <c r="N143" s="153" t="str">
        <f aca="false">IF(Species!$G143&lt;=Species!$H143,IF(AND(12&gt;=Species!$G143,12&lt;=Species!$H143),"H",""),IF(OR(12&gt;=Species!$G143,12&lt;=Species!$H143),"H",""))&amp;IF(Species!$I143=12,"S","")</f>
        <v/>
      </c>
    </row>
    <row r="144" customFormat="false" ht="15" hidden="false" customHeight="false" outlineLevel="0" collapsed="false">
      <c r="A144" s="6" t="str">
        <f aca="false">Species!B144</f>
        <v>German Chamomile</v>
      </c>
      <c r="B144" s="6" t="str">
        <f aca="false">Species!F144</f>
        <v>Flower</v>
      </c>
      <c r="C144" s="153" t="str">
        <f aca="false">IF(Species!$G144&lt;=Species!$H144,IF(AND(1&gt;=Species!$G144,1&lt;=Species!$H144),"H",""),IF(OR(1&gt;=Species!$G144,1&lt;=Species!$H144),"H",""))&amp;IF(Species!$I144=1,"S","")</f>
        <v/>
      </c>
      <c r="D144" s="153" t="str">
        <f aca="false">IF(Species!$G144&lt;=Species!$H144,IF(AND(2&gt;=Species!$G144,2&lt;=Species!$H144),"H",""),IF(OR(2&gt;=Species!$G144,2&lt;=Species!$H144),"H",""))&amp;IF(Species!$I144=2,"S","")</f>
        <v/>
      </c>
      <c r="E144" s="153" t="str">
        <f aca="false">IF(Species!$G144&lt;=Species!$H144,IF(AND(3&gt;=Species!$G144,3&lt;=Species!$H144),"H",""),IF(OR(3&gt;=Species!$G144,3&lt;=Species!$H144),"H",""))&amp;IF(Species!$I144=3,"S","")</f>
        <v/>
      </c>
      <c r="F144" s="153" t="str">
        <f aca="false">IF(Species!$G144&lt;=Species!$H144,IF(AND(4&gt;=Species!$G144,4&lt;=Species!$H144),"H",""),IF(OR(4&gt;=Species!$G144,4&lt;=Species!$H144),"H",""))&amp;IF(Species!$I144=4,"S","")</f>
        <v/>
      </c>
      <c r="G144" s="153" t="str">
        <f aca="false">IF(Species!$G144&lt;=Species!$H144,IF(AND(5&gt;=Species!$G144,5&lt;=Species!$H144),"H",""),IF(OR(5&gt;=Species!$G144,5&lt;=Species!$H144),"H",""))&amp;IF(Species!$I144=5,"S","")</f>
        <v>H</v>
      </c>
      <c r="H144" s="153" t="str">
        <f aca="false">IF(Species!$G144&lt;=Species!$H144,IF(AND(6&gt;=Species!$G144,6&lt;=Species!$H144),"H",""),IF(OR(6&gt;=Species!$G144,6&lt;=Species!$H144),"H",""))&amp;IF(Species!$I144=6,"S","")</f>
        <v>H</v>
      </c>
      <c r="I144" s="153" t="str">
        <f aca="false">IF(Species!$G144&lt;=Species!$H144,IF(AND(7&gt;=Species!$G144,7&lt;=Species!$H144),"H",""),IF(OR(7&gt;=Species!$G144,7&lt;=Species!$H144),"H",""))&amp;IF(Species!$I144=7,"S","")</f>
        <v>H</v>
      </c>
      <c r="J144" s="153" t="str">
        <f aca="false">IF(Species!$G144&lt;=Species!$H144,IF(AND(8&gt;=Species!$G144,8&lt;=Species!$H144),"H",""),IF(OR(8&gt;=Species!$G144,8&lt;=Species!$H144),"H",""))&amp;IF(Species!$I144=8,"S","")</f>
        <v>HS</v>
      </c>
      <c r="K144" s="153" t="str">
        <f aca="false">IF(Species!$G144&lt;=Species!$H144,IF(AND(9&gt;=Species!$G144,9&lt;=Species!$H144),"H",""),IF(OR(9&gt;=Species!$G144,9&lt;=Species!$H144),"H",""))&amp;IF(Species!$I144=9,"S","")</f>
        <v/>
      </c>
      <c r="L144" s="153" t="str">
        <f aca="false">IF(Species!$G144&lt;=Species!$H144,IF(AND(10&gt;=Species!$G144,10&lt;=Species!$H144),"H",""),IF(OR(10&gt;=Species!$G144,10&lt;=Species!$H144),"H",""))&amp;IF(Species!$I144=10,"S","")</f>
        <v/>
      </c>
      <c r="M144" s="153" t="str">
        <f aca="false">IF(Species!$G144&lt;=Species!$H144,IF(AND(11&gt;=Species!$G144,11&lt;=Species!$H144),"H",""),IF(OR(11&gt;=Species!$G144,11&lt;=Species!$H144),"H",""))&amp;IF(Species!$I144=11,"S","")</f>
        <v/>
      </c>
      <c r="N144" s="153" t="str">
        <f aca="false">IF(Species!$G144&lt;=Species!$H144,IF(AND(12&gt;=Species!$G144,12&lt;=Species!$H144),"H",""),IF(OR(12&gt;=Species!$G144,12&lt;=Species!$H144),"H",""))&amp;IF(Species!$I144=12,"S","")</f>
        <v/>
      </c>
    </row>
    <row r="145" customFormat="false" ht="15" hidden="false" customHeight="false" outlineLevel="0" collapsed="false">
      <c r="A145" s="6" t="str">
        <f aca="false">Species!B145</f>
        <v>Common Hops</v>
      </c>
      <c r="B145" s="6" t="str">
        <f aca="false">Species!F145</f>
        <v>Flower</v>
      </c>
      <c r="C145" s="153" t="str">
        <f aca="false">IF(Species!$G145&lt;=Species!$H145,IF(AND(1&gt;=Species!$G145,1&lt;=Species!$H145),"H",""),IF(OR(1&gt;=Species!$G145,1&lt;=Species!$H145),"H",""))&amp;IF(Species!$I145=1,"S","")</f>
        <v/>
      </c>
      <c r="D145" s="153" t="str">
        <f aca="false">IF(Species!$G145&lt;=Species!$H145,IF(AND(2&gt;=Species!$G145,2&lt;=Species!$H145),"H",""),IF(OR(2&gt;=Species!$G145,2&lt;=Species!$H145),"H",""))&amp;IF(Species!$I145=2,"S","")</f>
        <v/>
      </c>
      <c r="E145" s="153" t="str">
        <f aca="false">IF(Species!$G145&lt;=Species!$H145,IF(AND(3&gt;=Species!$G145,3&lt;=Species!$H145),"H",""),IF(OR(3&gt;=Species!$G145,3&lt;=Species!$H145),"H",""))&amp;IF(Species!$I145=3,"S","")</f>
        <v/>
      </c>
      <c r="F145" s="153" t="str">
        <f aca="false">IF(Species!$G145&lt;=Species!$H145,IF(AND(4&gt;=Species!$G145,4&lt;=Species!$H145),"H",""),IF(OR(4&gt;=Species!$G145,4&lt;=Species!$H145),"H",""))&amp;IF(Species!$I145=4,"S","")</f>
        <v/>
      </c>
      <c r="G145" s="153" t="str">
        <f aca="false">IF(Species!$G145&lt;=Species!$H145,IF(AND(5&gt;=Species!$G145,5&lt;=Species!$H145),"H",""),IF(OR(5&gt;=Species!$G145,5&lt;=Species!$H145),"H",""))&amp;IF(Species!$I145=5,"S","")</f>
        <v/>
      </c>
      <c r="H145" s="153" t="str">
        <f aca="false">IF(Species!$G145&lt;=Species!$H145,IF(AND(6&gt;=Species!$G145,6&lt;=Species!$H145),"H",""),IF(OR(6&gt;=Species!$G145,6&lt;=Species!$H145),"H",""))&amp;IF(Species!$I145=6,"S","")</f>
        <v/>
      </c>
      <c r="I145" s="153" t="str">
        <f aca="false">IF(Species!$G145&lt;=Species!$H145,IF(AND(7&gt;=Species!$G145,7&lt;=Species!$H145),"H",""),IF(OR(7&gt;=Species!$G145,7&lt;=Species!$H145),"H",""))&amp;IF(Species!$I145=7,"S","")</f>
        <v/>
      </c>
      <c r="J145" s="153" t="str">
        <f aca="false">IF(Species!$G145&lt;=Species!$H145,IF(AND(8&gt;=Species!$G145,8&lt;=Species!$H145),"H",""),IF(OR(8&gt;=Species!$G145,8&lt;=Species!$H145),"H",""))&amp;IF(Species!$I145=8,"S","")</f>
        <v>H</v>
      </c>
      <c r="K145" s="153" t="str">
        <f aca="false">IF(Species!$G145&lt;=Species!$H145,IF(AND(9&gt;=Species!$G145,9&lt;=Species!$H145),"H",""),IF(OR(9&gt;=Species!$G145,9&lt;=Species!$H145),"H",""))&amp;IF(Species!$I145=9,"S","")</f>
        <v>H</v>
      </c>
      <c r="L145" s="153" t="str">
        <f aca="false">IF(Species!$G145&lt;=Species!$H145,IF(AND(10&gt;=Species!$G145,10&lt;=Species!$H145),"H",""),IF(OR(10&gt;=Species!$G145,10&lt;=Species!$H145),"H",""))&amp;IF(Species!$I145=10,"S","")</f>
        <v/>
      </c>
      <c r="M145" s="153" t="str">
        <f aca="false">IF(Species!$G145&lt;=Species!$H145,IF(AND(11&gt;=Species!$G145,11&lt;=Species!$H145),"H",""),IF(OR(11&gt;=Species!$G145,11&lt;=Species!$H145),"H",""))&amp;IF(Species!$I145=11,"S","")</f>
        <v/>
      </c>
      <c r="N145" s="153" t="str">
        <f aca="false">IF(Species!$G145&lt;=Species!$H145,IF(AND(12&gt;=Species!$G145,12&lt;=Species!$H145),"H",""),IF(OR(12&gt;=Species!$G145,12&lt;=Species!$H145),"H",""))&amp;IF(Species!$I145=12,"S","")</f>
        <v/>
      </c>
    </row>
    <row r="146" customFormat="false" ht="15" hidden="false" customHeight="false" outlineLevel="0" collapsed="false">
      <c r="A146" s="6" t="str">
        <f aca="false">Species!B146</f>
        <v>Soapwort</v>
      </c>
      <c r="B146" s="6" t="str">
        <f aca="false">Species!F146</f>
        <v>Root</v>
      </c>
      <c r="C146" s="153" t="str">
        <f aca="false">IF(Species!$G146&lt;=Species!$H146,IF(AND(1&gt;=Species!$G146,1&lt;=Species!$H146),"H",""),IF(OR(1&gt;=Species!$G146,1&lt;=Species!$H146),"H",""))&amp;IF(Species!$I146=1,"S","")</f>
        <v/>
      </c>
      <c r="D146" s="153" t="str">
        <f aca="false">IF(Species!$G146&lt;=Species!$H146,IF(AND(2&gt;=Species!$G146,2&lt;=Species!$H146),"H",""),IF(OR(2&gt;=Species!$G146,2&lt;=Species!$H146),"H",""))&amp;IF(Species!$I146=2,"S","")</f>
        <v/>
      </c>
      <c r="E146" s="153" t="str">
        <f aca="false">IF(Species!$G146&lt;=Species!$H146,IF(AND(3&gt;=Species!$G146,3&lt;=Species!$H146),"H",""),IF(OR(3&gt;=Species!$G146,3&lt;=Species!$H146),"H",""))&amp;IF(Species!$I146=3,"S","")</f>
        <v/>
      </c>
      <c r="F146" s="153" t="str">
        <f aca="false">IF(Species!$G146&lt;=Species!$H146,IF(AND(4&gt;=Species!$G146,4&lt;=Species!$H146),"H",""),IF(OR(4&gt;=Species!$G146,4&lt;=Species!$H146),"H",""))&amp;IF(Species!$I146=4,"S","")</f>
        <v/>
      </c>
      <c r="G146" s="153" t="str">
        <f aca="false">IF(Species!$G146&lt;=Species!$H146,IF(AND(5&gt;=Species!$G146,5&lt;=Species!$H146),"H",""),IF(OR(5&gt;=Species!$G146,5&lt;=Species!$H146),"H",""))&amp;IF(Species!$I146=5,"S","")</f>
        <v>H</v>
      </c>
      <c r="H146" s="153" t="str">
        <f aca="false">IF(Species!$G146&lt;=Species!$H146,IF(AND(6&gt;=Species!$G146,6&lt;=Species!$H146),"H",""),IF(OR(6&gt;=Species!$G146,6&lt;=Species!$H146),"H",""))&amp;IF(Species!$I146=6,"S","")</f>
        <v>H</v>
      </c>
      <c r="I146" s="153" t="str">
        <f aca="false">IF(Species!$G146&lt;=Species!$H146,IF(AND(7&gt;=Species!$G146,7&lt;=Species!$H146),"H",""),IF(OR(7&gt;=Species!$G146,7&lt;=Species!$H146),"H",""))&amp;IF(Species!$I146=7,"S","")</f>
        <v>H</v>
      </c>
      <c r="J146" s="153" t="str">
        <f aca="false">IF(Species!$G146&lt;=Species!$H146,IF(AND(8&gt;=Species!$G146,8&lt;=Species!$H146),"H",""),IF(OR(8&gt;=Species!$G146,8&lt;=Species!$H146),"H",""))&amp;IF(Species!$I146=8,"S","")</f>
        <v>H</v>
      </c>
      <c r="K146" s="153" t="str">
        <f aca="false">IF(Species!$G146&lt;=Species!$H146,IF(AND(9&gt;=Species!$G146,9&lt;=Species!$H146),"H",""),IF(OR(9&gt;=Species!$G146,9&lt;=Species!$H146),"H",""))&amp;IF(Species!$I146=9,"S","")</f>
        <v>H</v>
      </c>
      <c r="L146" s="153" t="str">
        <f aca="false">IF(Species!$G146&lt;=Species!$H146,IF(AND(10&gt;=Species!$G146,10&lt;=Species!$H146),"H",""),IF(OR(10&gt;=Species!$G146,10&lt;=Species!$H146),"H",""))&amp;IF(Species!$I146=10,"S","")</f>
        <v>H</v>
      </c>
      <c r="M146" s="153" t="str">
        <f aca="false">IF(Species!$G146&lt;=Species!$H146,IF(AND(11&gt;=Species!$G146,11&lt;=Species!$H146),"H",""),IF(OR(11&gt;=Species!$G146,11&lt;=Species!$H146),"H",""))&amp;IF(Species!$I146=11,"S","")</f>
        <v/>
      </c>
      <c r="N146" s="153" t="str">
        <f aca="false">IF(Species!$G146&lt;=Species!$H146,IF(AND(12&gt;=Species!$G146,12&lt;=Species!$H146),"H",""),IF(OR(12&gt;=Species!$G146,12&lt;=Species!$H146),"H",""))&amp;IF(Species!$I146=12,"S","")</f>
        <v/>
      </c>
    </row>
    <row r="147" customFormat="false" ht="15" hidden="false" customHeight="false" outlineLevel="0" collapsed="false">
      <c r="A147" s="6" t="str">
        <f aca="false">Species!B147</f>
        <v>Wild Teasel</v>
      </c>
      <c r="B147" s="6" t="str">
        <f aca="false">Species!F147</f>
        <v>Root</v>
      </c>
      <c r="C147" s="153" t="str">
        <f aca="false">IF(Species!$G147&lt;=Species!$H147,IF(AND(1&gt;=Species!$G147,1&lt;=Species!$H147),"H",""),IF(OR(1&gt;=Species!$G147,1&lt;=Species!$H147),"H",""))&amp;IF(Species!$I147=1,"S","")</f>
        <v/>
      </c>
      <c r="D147" s="153" t="str">
        <f aca="false">IF(Species!$G147&lt;=Species!$H147,IF(AND(2&gt;=Species!$G147,2&lt;=Species!$H147),"H",""),IF(OR(2&gt;=Species!$G147,2&lt;=Species!$H147),"H",""))&amp;IF(Species!$I147=2,"S","")</f>
        <v/>
      </c>
      <c r="E147" s="153" t="str">
        <f aca="false">IF(Species!$G147&lt;=Species!$H147,IF(AND(3&gt;=Species!$G147,3&lt;=Species!$H147),"H",""),IF(OR(3&gt;=Species!$G147,3&lt;=Species!$H147),"H",""))&amp;IF(Species!$I147=3,"S","")</f>
        <v/>
      </c>
      <c r="F147" s="153" t="str">
        <f aca="false">IF(Species!$G147&lt;=Species!$H147,IF(AND(4&gt;=Species!$G147,4&lt;=Species!$H147),"H",""),IF(OR(4&gt;=Species!$G147,4&lt;=Species!$H147),"H",""))&amp;IF(Species!$I147=4,"S","")</f>
        <v/>
      </c>
      <c r="G147" s="153" t="str">
        <f aca="false">IF(Species!$G147&lt;=Species!$H147,IF(AND(5&gt;=Species!$G147,5&lt;=Species!$H147),"H",""),IF(OR(5&gt;=Species!$G147,5&lt;=Species!$H147),"H",""))&amp;IF(Species!$I147=5,"S","")</f>
        <v/>
      </c>
      <c r="H147" s="153" t="str">
        <f aca="false">IF(Species!$G147&lt;=Species!$H147,IF(AND(6&gt;=Species!$G147,6&lt;=Species!$H147),"H",""),IF(OR(6&gt;=Species!$G147,6&lt;=Species!$H147),"H",""))&amp;IF(Species!$I147=6,"S","")</f>
        <v/>
      </c>
      <c r="I147" s="153" t="str">
        <f aca="false">IF(Species!$G147&lt;=Species!$H147,IF(AND(7&gt;=Species!$G147,7&lt;=Species!$H147),"H",""),IF(OR(7&gt;=Species!$G147,7&lt;=Species!$H147),"H",""))&amp;IF(Species!$I147=7,"S","")</f>
        <v/>
      </c>
      <c r="J147" s="153" t="str">
        <f aca="false">IF(Species!$G147&lt;=Species!$H147,IF(AND(8&gt;=Species!$G147,8&lt;=Species!$H147),"H",""),IF(OR(8&gt;=Species!$G147,8&lt;=Species!$H147),"H",""))&amp;IF(Species!$I147=8,"S","")</f>
        <v/>
      </c>
      <c r="K147" s="153" t="str">
        <f aca="false">IF(Species!$G147&lt;=Species!$H147,IF(AND(9&gt;=Species!$G147,9&lt;=Species!$H147),"H",""),IF(OR(9&gt;=Species!$G147,9&lt;=Species!$H147),"H",""))&amp;IF(Species!$I147=9,"S","")</f>
        <v>H</v>
      </c>
      <c r="L147" s="153" t="str">
        <f aca="false">IF(Species!$G147&lt;=Species!$H147,IF(AND(10&gt;=Species!$G147,10&lt;=Species!$H147),"H",""),IF(OR(10&gt;=Species!$G147,10&lt;=Species!$H147),"H",""))&amp;IF(Species!$I147=10,"S","")</f>
        <v>H</v>
      </c>
      <c r="M147" s="153" t="str">
        <f aca="false">IF(Species!$G147&lt;=Species!$H147,IF(AND(11&gt;=Species!$G147,11&lt;=Species!$H147),"H",""),IF(OR(11&gt;=Species!$G147,11&lt;=Species!$H147),"H",""))&amp;IF(Species!$I147=11,"S","")</f>
        <v/>
      </c>
      <c r="N147" s="153" t="str">
        <f aca="false">IF(Species!$G147&lt;=Species!$H147,IF(AND(12&gt;=Species!$G147,12&lt;=Species!$H147),"H",""),IF(OR(12&gt;=Species!$G147,12&lt;=Species!$H147),"H",""))&amp;IF(Species!$I147=12,"S","")</f>
        <v/>
      </c>
    </row>
    <row r="148" customFormat="false" ht="15" hidden="false" customHeight="false" outlineLevel="0" collapsed="false">
      <c r="A148" s="6" t="str">
        <f aca="false">Species!B148</f>
        <v>Chicory</v>
      </c>
      <c r="B148" s="6" t="str">
        <f aca="false">Species!F148</f>
        <v>Root</v>
      </c>
      <c r="C148" s="153" t="str">
        <f aca="false">IF(Species!$G148&lt;=Species!$H148,IF(AND(1&gt;=Species!$G148,1&lt;=Species!$H148),"H",""),IF(OR(1&gt;=Species!$G148,1&lt;=Species!$H148),"H",""))&amp;IF(Species!$I148=1,"S","")</f>
        <v/>
      </c>
      <c r="D148" s="153" t="str">
        <f aca="false">IF(Species!$G148&lt;=Species!$H148,IF(AND(2&gt;=Species!$G148,2&lt;=Species!$H148),"H",""),IF(OR(2&gt;=Species!$G148,2&lt;=Species!$H148),"H",""))&amp;IF(Species!$I148=2,"S","")</f>
        <v/>
      </c>
      <c r="E148" s="153" t="str">
        <f aca="false">IF(Species!$G148&lt;=Species!$H148,IF(AND(3&gt;=Species!$G148,3&lt;=Species!$H148),"H",""),IF(OR(3&gt;=Species!$G148,3&lt;=Species!$H148),"H",""))&amp;IF(Species!$I148=3,"S","")</f>
        <v/>
      </c>
      <c r="F148" s="153" t="str">
        <f aca="false">IF(Species!$G148&lt;=Species!$H148,IF(AND(4&gt;=Species!$G148,4&lt;=Species!$H148),"H",""),IF(OR(4&gt;=Species!$G148,4&lt;=Species!$H148),"H",""))&amp;IF(Species!$I148=4,"S","")</f>
        <v/>
      </c>
      <c r="G148" s="153" t="str">
        <f aca="false">IF(Species!$G148&lt;=Species!$H148,IF(AND(5&gt;=Species!$G148,5&lt;=Species!$H148),"H",""),IF(OR(5&gt;=Species!$G148,5&lt;=Species!$H148),"H",""))&amp;IF(Species!$I148=5,"S","")</f>
        <v/>
      </c>
      <c r="H148" s="153" t="str">
        <f aca="false">IF(Species!$G148&lt;=Species!$H148,IF(AND(6&gt;=Species!$G148,6&lt;=Species!$H148),"H",""),IF(OR(6&gt;=Species!$G148,6&lt;=Species!$H148),"H",""))&amp;IF(Species!$I148=6,"S","")</f>
        <v/>
      </c>
      <c r="I148" s="153" t="str">
        <f aca="false">IF(Species!$G148&lt;=Species!$H148,IF(AND(7&gt;=Species!$G148,7&lt;=Species!$H148),"H",""),IF(OR(7&gt;=Species!$G148,7&lt;=Species!$H148),"H",""))&amp;IF(Species!$I148=7,"S","")</f>
        <v/>
      </c>
      <c r="J148" s="153" t="str">
        <f aca="false">IF(Species!$G148&lt;=Species!$H148,IF(AND(8&gt;=Species!$G148,8&lt;=Species!$H148),"H",""),IF(OR(8&gt;=Species!$G148,8&lt;=Species!$H148),"H",""))&amp;IF(Species!$I148=8,"S","")</f>
        <v/>
      </c>
      <c r="K148" s="153" t="str">
        <f aca="false">IF(Species!$G148&lt;=Species!$H148,IF(AND(9&gt;=Species!$G148,9&lt;=Species!$H148),"H",""),IF(OR(9&gt;=Species!$G148,9&lt;=Species!$H148),"H",""))&amp;IF(Species!$I148=9,"S","")</f>
        <v>HS</v>
      </c>
      <c r="L148" s="153" t="str">
        <f aca="false">IF(Species!$G148&lt;=Species!$H148,IF(AND(10&gt;=Species!$G148,10&lt;=Species!$H148),"H",""),IF(OR(10&gt;=Species!$G148,10&lt;=Species!$H148),"H",""))&amp;IF(Species!$I148=10,"S","")</f>
        <v>H</v>
      </c>
      <c r="M148" s="153" t="str">
        <f aca="false">IF(Species!$G148&lt;=Species!$H148,IF(AND(11&gt;=Species!$G148,11&lt;=Species!$H148),"H",""),IF(OR(11&gt;=Species!$G148,11&lt;=Species!$H148),"H",""))&amp;IF(Species!$I148=11,"S","")</f>
        <v>H</v>
      </c>
      <c r="N148" s="153" t="str">
        <f aca="false">IF(Species!$G148&lt;=Species!$H148,IF(AND(12&gt;=Species!$G148,12&lt;=Species!$H148),"H",""),IF(OR(12&gt;=Species!$G148,12&lt;=Species!$H148),"H",""))&amp;IF(Species!$I148=12,"S","")</f>
        <v/>
      </c>
    </row>
    <row r="149" customFormat="false" ht="15" hidden="false" customHeight="false" outlineLevel="0" collapsed="false">
      <c r="A149" s="6" t="str">
        <f aca="false">Species!B149</f>
        <v>Pineapple Weed</v>
      </c>
      <c r="B149" s="6" t="str">
        <f aca="false">Species!F149</f>
        <v>Flower</v>
      </c>
      <c r="C149" s="153" t="str">
        <f aca="false">IF(Species!$G149&lt;=Species!$H149,IF(AND(1&gt;=Species!$G149,1&lt;=Species!$H149),"H",""),IF(OR(1&gt;=Species!$G149,1&lt;=Species!$H149),"H",""))&amp;IF(Species!$I149=1,"S","")</f>
        <v/>
      </c>
      <c r="D149" s="153" t="str">
        <f aca="false">IF(Species!$G149&lt;=Species!$H149,IF(AND(2&gt;=Species!$G149,2&lt;=Species!$H149),"H",""),IF(OR(2&gt;=Species!$G149,2&lt;=Species!$H149),"H",""))&amp;IF(Species!$I149=2,"S","")</f>
        <v/>
      </c>
      <c r="E149" s="153" t="str">
        <f aca="false">IF(Species!$G149&lt;=Species!$H149,IF(AND(3&gt;=Species!$G149,3&lt;=Species!$H149),"H",""),IF(OR(3&gt;=Species!$G149,3&lt;=Species!$H149),"H",""))&amp;IF(Species!$I149=3,"S","")</f>
        <v/>
      </c>
      <c r="F149" s="153" t="str">
        <f aca="false">IF(Species!$G149&lt;=Species!$H149,IF(AND(4&gt;=Species!$G149,4&lt;=Species!$H149),"H",""),IF(OR(4&gt;=Species!$G149,4&lt;=Species!$H149),"H",""))&amp;IF(Species!$I149=4,"S","")</f>
        <v/>
      </c>
      <c r="G149" s="153" t="str">
        <f aca="false">IF(Species!$G149&lt;=Species!$H149,IF(AND(5&gt;=Species!$G149,5&lt;=Species!$H149),"H",""),IF(OR(5&gt;=Species!$G149,5&lt;=Species!$H149),"H",""))&amp;IF(Species!$I149=5,"S","")</f>
        <v/>
      </c>
      <c r="H149" s="153" t="str">
        <f aca="false">IF(Species!$G149&lt;=Species!$H149,IF(AND(6&gt;=Species!$G149,6&lt;=Species!$H149),"H",""),IF(OR(6&gt;=Species!$G149,6&lt;=Species!$H149),"H",""))&amp;IF(Species!$I149=6,"S","")</f>
        <v>H</v>
      </c>
      <c r="I149" s="153" t="str">
        <f aca="false">IF(Species!$G149&lt;=Species!$H149,IF(AND(7&gt;=Species!$G149,7&lt;=Species!$H149),"H",""),IF(OR(7&gt;=Species!$G149,7&lt;=Species!$H149),"H",""))&amp;IF(Species!$I149=7,"S","")</f>
        <v>H</v>
      </c>
      <c r="J149" s="153" t="str">
        <f aca="false">IF(Species!$G149&lt;=Species!$H149,IF(AND(8&gt;=Species!$G149,8&lt;=Species!$H149),"H",""),IF(OR(8&gt;=Species!$G149,8&lt;=Species!$H149),"H",""))&amp;IF(Species!$I149=8,"S","")</f>
        <v>HS</v>
      </c>
      <c r="K149" s="153" t="str">
        <f aca="false">IF(Species!$G149&lt;=Species!$H149,IF(AND(9&gt;=Species!$G149,9&lt;=Species!$H149),"H",""),IF(OR(9&gt;=Species!$G149,9&lt;=Species!$H149),"H",""))&amp;IF(Species!$I149=9,"S","")</f>
        <v/>
      </c>
      <c r="L149" s="153" t="str">
        <f aca="false">IF(Species!$G149&lt;=Species!$H149,IF(AND(10&gt;=Species!$G149,10&lt;=Species!$H149),"H",""),IF(OR(10&gt;=Species!$G149,10&lt;=Species!$H149),"H",""))&amp;IF(Species!$I149=10,"S","")</f>
        <v/>
      </c>
      <c r="M149" s="153" t="str">
        <f aca="false">IF(Species!$G149&lt;=Species!$H149,IF(AND(11&gt;=Species!$G149,11&lt;=Species!$H149),"H",""),IF(OR(11&gt;=Species!$G149,11&lt;=Species!$H149),"H",""))&amp;IF(Species!$I149=11,"S","")</f>
        <v/>
      </c>
      <c r="N149" s="153" t="str">
        <f aca="false">IF(Species!$G149&lt;=Species!$H149,IF(AND(12&gt;=Species!$G149,12&lt;=Species!$H149),"H",""),IF(OR(12&gt;=Species!$G149,12&lt;=Species!$H149),"H",""))&amp;IF(Species!$I149=12,"S","")</f>
        <v/>
      </c>
    </row>
    <row r="150" customFormat="false" ht="15" hidden="false" customHeight="false" outlineLevel="0" collapsed="false">
      <c r="A150" s="6" t="str">
        <f aca="false">Species!B150</f>
        <v>Shepherd's Purse</v>
      </c>
      <c r="B150" s="6" t="str">
        <f aca="false">Species!F150</f>
        <v>Whole</v>
      </c>
      <c r="C150" s="153" t="str">
        <f aca="false">IF(Species!$G150&lt;=Species!$H150,IF(AND(1&gt;=Species!$G150,1&lt;=Species!$H150),"H",""),IF(OR(1&gt;=Species!$G150,1&lt;=Species!$H150),"H",""))&amp;IF(Species!$I150=1,"S","")</f>
        <v/>
      </c>
      <c r="D150" s="153" t="str">
        <f aca="false">IF(Species!$G150&lt;=Species!$H150,IF(AND(2&gt;=Species!$G150,2&lt;=Species!$H150),"H",""),IF(OR(2&gt;=Species!$G150,2&lt;=Species!$H150),"H",""))&amp;IF(Species!$I150=2,"S","")</f>
        <v/>
      </c>
      <c r="E150" s="153" t="str">
        <f aca="false">IF(Species!$G150&lt;=Species!$H150,IF(AND(3&gt;=Species!$G150,3&lt;=Species!$H150),"H",""),IF(OR(3&gt;=Species!$G150,3&lt;=Species!$H150),"H",""))&amp;IF(Species!$I150=3,"S","")</f>
        <v>H</v>
      </c>
      <c r="F150" s="153" t="str">
        <f aca="false">IF(Species!$G150&lt;=Species!$H150,IF(AND(4&gt;=Species!$G150,4&lt;=Species!$H150),"H",""),IF(OR(4&gt;=Species!$G150,4&lt;=Species!$H150),"H",""))&amp;IF(Species!$I150=4,"S","")</f>
        <v>H</v>
      </c>
      <c r="G150" s="153" t="str">
        <f aca="false">IF(Species!$G150&lt;=Species!$H150,IF(AND(5&gt;=Species!$G150,5&lt;=Species!$H150),"H",""),IF(OR(5&gt;=Species!$G150,5&lt;=Species!$H150),"H",""))&amp;IF(Species!$I150=5,"S","")</f>
        <v>HS</v>
      </c>
      <c r="H150" s="153" t="str">
        <f aca="false">IF(Species!$G150&lt;=Species!$H150,IF(AND(6&gt;=Species!$G150,6&lt;=Species!$H150),"H",""),IF(OR(6&gt;=Species!$G150,6&lt;=Species!$H150),"H",""))&amp;IF(Species!$I150=6,"S","")</f>
        <v>H</v>
      </c>
      <c r="I150" s="153" t="str">
        <f aca="false">IF(Species!$G150&lt;=Species!$H150,IF(AND(7&gt;=Species!$G150,7&lt;=Species!$H150),"H",""),IF(OR(7&gt;=Species!$G150,7&lt;=Species!$H150),"H",""))&amp;IF(Species!$I150=7,"S","")</f>
        <v/>
      </c>
      <c r="J150" s="153" t="str">
        <f aca="false">IF(Species!$G150&lt;=Species!$H150,IF(AND(8&gt;=Species!$G150,8&lt;=Species!$H150),"H",""),IF(OR(8&gt;=Species!$G150,8&lt;=Species!$H150),"H",""))&amp;IF(Species!$I150=8,"S","")</f>
        <v/>
      </c>
      <c r="K150" s="153" t="str">
        <f aca="false">IF(Species!$G150&lt;=Species!$H150,IF(AND(9&gt;=Species!$G150,9&lt;=Species!$H150),"H",""),IF(OR(9&gt;=Species!$G150,9&lt;=Species!$H150),"H",""))&amp;IF(Species!$I150=9,"S","")</f>
        <v/>
      </c>
      <c r="L150" s="153" t="str">
        <f aca="false">IF(Species!$G150&lt;=Species!$H150,IF(AND(10&gt;=Species!$G150,10&lt;=Species!$H150),"H",""),IF(OR(10&gt;=Species!$G150,10&lt;=Species!$H150),"H",""))&amp;IF(Species!$I150=10,"S","")</f>
        <v/>
      </c>
      <c r="M150" s="153" t="str">
        <f aca="false">IF(Species!$G150&lt;=Species!$H150,IF(AND(11&gt;=Species!$G150,11&lt;=Species!$H150),"H",""),IF(OR(11&gt;=Species!$G150,11&lt;=Species!$H150),"H",""))&amp;IF(Species!$I150=11,"S","")</f>
        <v/>
      </c>
      <c r="N150" s="153" t="str">
        <f aca="false">IF(Species!$G150&lt;=Species!$H150,IF(AND(12&gt;=Species!$G150,12&lt;=Species!$H150),"H",""),IF(OR(12&gt;=Species!$G150,12&lt;=Species!$H150),"H",""))&amp;IF(Species!$I150=12,"S","")</f>
        <v/>
      </c>
    </row>
    <row r="151" customFormat="false" ht="15" hidden="false" customHeight="false" outlineLevel="0" collapsed="false">
      <c r="A151" s="6" t="str">
        <f aca="false">Species!B151</f>
        <v>Purslane</v>
      </c>
      <c r="B151" s="6" t="str">
        <f aca="false">Species!F151</f>
        <v>Leaf</v>
      </c>
      <c r="C151" s="153" t="str">
        <f aca="false">IF(Species!$G151&lt;=Species!$H151,IF(AND(1&gt;=Species!$G151,1&lt;=Species!$H151),"H",""),IF(OR(1&gt;=Species!$G151,1&lt;=Species!$H151),"H",""))&amp;IF(Species!$I151=1,"S","")</f>
        <v/>
      </c>
      <c r="D151" s="153" t="str">
        <f aca="false">IF(Species!$G151&lt;=Species!$H151,IF(AND(2&gt;=Species!$G151,2&lt;=Species!$H151),"H",""),IF(OR(2&gt;=Species!$G151,2&lt;=Species!$H151),"H",""))&amp;IF(Species!$I151=2,"S","")</f>
        <v/>
      </c>
      <c r="E151" s="153" t="str">
        <f aca="false">IF(Species!$G151&lt;=Species!$H151,IF(AND(3&gt;=Species!$G151,3&lt;=Species!$H151),"H",""),IF(OR(3&gt;=Species!$G151,3&lt;=Species!$H151),"H",""))&amp;IF(Species!$I151=3,"S","")</f>
        <v/>
      </c>
      <c r="F151" s="153" t="str">
        <f aca="false">IF(Species!$G151&lt;=Species!$H151,IF(AND(4&gt;=Species!$G151,4&lt;=Species!$H151),"H",""),IF(OR(4&gt;=Species!$G151,4&lt;=Species!$H151),"H",""))&amp;IF(Species!$I151=4,"S","")</f>
        <v/>
      </c>
      <c r="G151" s="153" t="str">
        <f aca="false">IF(Species!$G151&lt;=Species!$H151,IF(AND(5&gt;=Species!$G151,5&lt;=Species!$H151),"H",""),IF(OR(5&gt;=Species!$G151,5&lt;=Species!$H151),"H",""))&amp;IF(Species!$I151=5,"S","")</f>
        <v/>
      </c>
      <c r="H151" s="153" t="str">
        <f aca="false">IF(Species!$G151&lt;=Species!$H151,IF(AND(6&gt;=Species!$G151,6&lt;=Species!$H151),"H",""),IF(OR(6&gt;=Species!$G151,6&lt;=Species!$H151),"H",""))&amp;IF(Species!$I151=6,"S","")</f>
        <v>H</v>
      </c>
      <c r="I151" s="153" t="str">
        <f aca="false">IF(Species!$G151&lt;=Species!$H151,IF(AND(7&gt;=Species!$G151,7&lt;=Species!$H151),"H",""),IF(OR(7&gt;=Species!$G151,7&lt;=Species!$H151),"H",""))&amp;IF(Species!$I151=7,"S","")</f>
        <v>H</v>
      </c>
      <c r="J151" s="153" t="str">
        <f aca="false">IF(Species!$G151&lt;=Species!$H151,IF(AND(8&gt;=Species!$G151,8&lt;=Species!$H151),"H",""),IF(OR(8&gt;=Species!$G151,8&lt;=Species!$H151),"H",""))&amp;IF(Species!$I151=8,"S","")</f>
        <v>HS</v>
      </c>
      <c r="K151" s="153" t="str">
        <f aca="false">IF(Species!$G151&lt;=Species!$H151,IF(AND(9&gt;=Species!$G151,9&lt;=Species!$H151),"H",""),IF(OR(9&gt;=Species!$G151,9&lt;=Species!$H151),"H",""))&amp;IF(Species!$I151=9,"S","")</f>
        <v>H</v>
      </c>
      <c r="L151" s="153" t="str">
        <f aca="false">IF(Species!$G151&lt;=Species!$H151,IF(AND(10&gt;=Species!$G151,10&lt;=Species!$H151),"H",""),IF(OR(10&gt;=Species!$G151,10&lt;=Species!$H151),"H",""))&amp;IF(Species!$I151=10,"S","")</f>
        <v/>
      </c>
      <c r="M151" s="153" t="str">
        <f aca="false">IF(Species!$G151&lt;=Species!$H151,IF(AND(11&gt;=Species!$G151,11&lt;=Species!$H151),"H",""),IF(OR(11&gt;=Species!$G151,11&lt;=Species!$H151),"H",""))&amp;IF(Species!$I151=11,"S","")</f>
        <v/>
      </c>
      <c r="N151" s="153" t="str">
        <f aca="false">IF(Species!$G151&lt;=Species!$H151,IF(AND(12&gt;=Species!$G151,12&lt;=Species!$H151),"H",""),IF(OR(12&gt;=Species!$G151,12&lt;=Species!$H151),"H",""))&amp;IF(Species!$I151=12,"S","")</f>
        <v/>
      </c>
    </row>
    <row r="152" customFormat="false" ht="15" hidden="false" customHeight="false" outlineLevel="0" collapsed="false">
      <c r="A152" s="6" t="str">
        <f aca="false">Species!B152</f>
        <v>Redroot Amaranth</v>
      </c>
      <c r="B152" s="6" t="str">
        <f aca="false">Species!F152</f>
        <v>Seed</v>
      </c>
      <c r="C152" s="153" t="str">
        <f aca="false">IF(Species!$G152&lt;=Species!$H152,IF(AND(1&gt;=Species!$G152,1&lt;=Species!$H152),"H",""),IF(OR(1&gt;=Species!$G152,1&lt;=Species!$H152),"H",""))&amp;IF(Species!$I152=1,"S","")</f>
        <v/>
      </c>
      <c r="D152" s="153" t="str">
        <f aca="false">IF(Species!$G152&lt;=Species!$H152,IF(AND(2&gt;=Species!$G152,2&lt;=Species!$H152),"H",""),IF(OR(2&gt;=Species!$G152,2&lt;=Species!$H152),"H",""))&amp;IF(Species!$I152=2,"S","")</f>
        <v/>
      </c>
      <c r="E152" s="153" t="str">
        <f aca="false">IF(Species!$G152&lt;=Species!$H152,IF(AND(3&gt;=Species!$G152,3&lt;=Species!$H152),"H",""),IF(OR(3&gt;=Species!$G152,3&lt;=Species!$H152),"H",""))&amp;IF(Species!$I152=3,"S","")</f>
        <v/>
      </c>
      <c r="F152" s="153" t="str">
        <f aca="false">IF(Species!$G152&lt;=Species!$H152,IF(AND(4&gt;=Species!$G152,4&lt;=Species!$H152),"H",""),IF(OR(4&gt;=Species!$G152,4&lt;=Species!$H152),"H",""))&amp;IF(Species!$I152=4,"S","")</f>
        <v/>
      </c>
      <c r="G152" s="153" t="str">
        <f aca="false">IF(Species!$G152&lt;=Species!$H152,IF(AND(5&gt;=Species!$G152,5&lt;=Species!$H152),"H",""),IF(OR(5&gt;=Species!$G152,5&lt;=Species!$H152),"H",""))&amp;IF(Species!$I152=5,"S","")</f>
        <v/>
      </c>
      <c r="H152" s="153" t="str">
        <f aca="false">IF(Species!$G152&lt;=Species!$H152,IF(AND(6&gt;=Species!$G152,6&lt;=Species!$H152),"H",""),IF(OR(6&gt;=Species!$G152,6&lt;=Species!$H152),"H",""))&amp;IF(Species!$I152=6,"S","")</f>
        <v/>
      </c>
      <c r="I152" s="153" t="str">
        <f aca="false">IF(Species!$G152&lt;=Species!$H152,IF(AND(7&gt;=Species!$G152,7&lt;=Species!$H152),"H",""),IF(OR(7&gt;=Species!$G152,7&lt;=Species!$H152),"H",""))&amp;IF(Species!$I152=7,"S","")</f>
        <v/>
      </c>
      <c r="J152" s="153" t="str">
        <f aca="false">IF(Species!$G152&lt;=Species!$H152,IF(AND(8&gt;=Species!$G152,8&lt;=Species!$H152),"H",""),IF(OR(8&gt;=Species!$G152,8&lt;=Species!$H152),"H",""))&amp;IF(Species!$I152=8,"S","")</f>
        <v>H</v>
      </c>
      <c r="K152" s="153" t="str">
        <f aca="false">IF(Species!$G152&lt;=Species!$H152,IF(AND(9&gt;=Species!$G152,9&lt;=Species!$H152),"H",""),IF(OR(9&gt;=Species!$G152,9&lt;=Species!$H152),"H",""))&amp;IF(Species!$I152=9,"S","")</f>
        <v>H</v>
      </c>
      <c r="L152" s="153" t="str">
        <f aca="false">IF(Species!$G152&lt;=Species!$H152,IF(AND(10&gt;=Species!$G152,10&lt;=Species!$H152),"H",""),IF(OR(10&gt;=Species!$G152,10&lt;=Species!$H152),"H",""))&amp;IF(Species!$I152=10,"S","")</f>
        <v>H</v>
      </c>
      <c r="M152" s="153" t="str">
        <f aca="false">IF(Species!$G152&lt;=Species!$H152,IF(AND(11&gt;=Species!$G152,11&lt;=Species!$H152),"H",""),IF(OR(11&gt;=Species!$G152,11&lt;=Species!$H152),"H",""))&amp;IF(Species!$I152=11,"S","")</f>
        <v/>
      </c>
      <c r="N152" s="153" t="str">
        <f aca="false">IF(Species!$G152&lt;=Species!$H152,IF(AND(12&gt;=Species!$G152,12&lt;=Species!$H152),"H",""),IF(OR(12&gt;=Species!$G152,12&lt;=Species!$H152),"H",""))&amp;IF(Species!$I152=12,"S","")</f>
        <v/>
      </c>
    </row>
    <row r="153" customFormat="false" ht="15" hidden="false" customHeight="false" outlineLevel="0" collapsed="false">
      <c r="A153" s="6" t="str">
        <f aca="false">Species!B153</f>
        <v>Common Ragweed</v>
      </c>
      <c r="B153" s="6" t="str">
        <f aca="false">Species!F153</f>
        <v>Leaf</v>
      </c>
      <c r="C153" s="153" t="str">
        <f aca="false">IF(Species!$G153&lt;=Species!$H153,IF(AND(1&gt;=Species!$G153,1&lt;=Species!$H153),"H",""),IF(OR(1&gt;=Species!$G153,1&lt;=Species!$H153),"H",""))&amp;IF(Species!$I153=1,"S","")</f>
        <v/>
      </c>
      <c r="D153" s="153" t="str">
        <f aca="false">IF(Species!$G153&lt;=Species!$H153,IF(AND(2&gt;=Species!$G153,2&lt;=Species!$H153),"H",""),IF(OR(2&gt;=Species!$G153,2&lt;=Species!$H153),"H",""))&amp;IF(Species!$I153=2,"S","")</f>
        <v/>
      </c>
      <c r="E153" s="153" t="str">
        <f aca="false">IF(Species!$G153&lt;=Species!$H153,IF(AND(3&gt;=Species!$G153,3&lt;=Species!$H153),"H",""),IF(OR(3&gt;=Species!$G153,3&lt;=Species!$H153),"H",""))&amp;IF(Species!$I153=3,"S","")</f>
        <v/>
      </c>
      <c r="F153" s="153" t="str">
        <f aca="false">IF(Species!$G153&lt;=Species!$H153,IF(AND(4&gt;=Species!$G153,4&lt;=Species!$H153),"H",""),IF(OR(4&gt;=Species!$G153,4&lt;=Species!$H153),"H",""))&amp;IF(Species!$I153=4,"S","")</f>
        <v/>
      </c>
      <c r="G153" s="153" t="str">
        <f aca="false">IF(Species!$G153&lt;=Species!$H153,IF(AND(5&gt;=Species!$G153,5&lt;=Species!$H153),"H",""),IF(OR(5&gt;=Species!$G153,5&lt;=Species!$H153),"H",""))&amp;IF(Species!$I153=5,"S","")</f>
        <v/>
      </c>
      <c r="H153" s="153" t="str">
        <f aca="false">IF(Species!$G153&lt;=Species!$H153,IF(AND(6&gt;=Species!$G153,6&lt;=Species!$H153),"H",""),IF(OR(6&gt;=Species!$G153,6&lt;=Species!$H153),"H",""))&amp;IF(Species!$I153=6,"S","")</f>
        <v/>
      </c>
      <c r="I153" s="153" t="str">
        <f aca="false">IF(Species!$G153&lt;=Species!$H153,IF(AND(7&gt;=Species!$G153,7&lt;=Species!$H153),"H",""),IF(OR(7&gt;=Species!$G153,7&lt;=Species!$H153),"H",""))&amp;IF(Species!$I153=7,"S","")</f>
        <v>H</v>
      </c>
      <c r="J153" s="153" t="str">
        <f aca="false">IF(Species!$G153&lt;=Species!$H153,IF(AND(8&gt;=Species!$G153,8&lt;=Species!$H153),"H",""),IF(OR(8&gt;=Species!$G153,8&lt;=Species!$H153),"H",""))&amp;IF(Species!$I153=8,"S","")</f>
        <v>H</v>
      </c>
      <c r="K153" s="153" t="str">
        <f aca="false">IF(Species!$G153&lt;=Species!$H153,IF(AND(9&gt;=Species!$G153,9&lt;=Species!$H153),"H",""),IF(OR(9&gt;=Species!$G153,9&lt;=Species!$H153),"H",""))&amp;IF(Species!$I153=9,"S","")</f>
        <v>HS</v>
      </c>
      <c r="L153" s="153" t="str">
        <f aca="false">IF(Species!$G153&lt;=Species!$H153,IF(AND(10&gt;=Species!$G153,10&lt;=Species!$H153),"H",""),IF(OR(10&gt;=Species!$G153,10&lt;=Species!$H153),"H",""))&amp;IF(Species!$I153=10,"S","")</f>
        <v/>
      </c>
      <c r="M153" s="153" t="str">
        <f aca="false">IF(Species!$G153&lt;=Species!$H153,IF(AND(11&gt;=Species!$G153,11&lt;=Species!$H153),"H",""),IF(OR(11&gt;=Species!$G153,11&lt;=Species!$H153),"H",""))&amp;IF(Species!$I153=11,"S","")</f>
        <v/>
      </c>
      <c r="N153" s="153" t="str">
        <f aca="false">IF(Species!$G153&lt;=Species!$H153,IF(AND(12&gt;=Species!$G153,12&lt;=Species!$H153),"H",""),IF(OR(12&gt;=Species!$G153,12&lt;=Species!$H153),"H",""))&amp;IF(Species!$I153=12,"S","")</f>
        <v/>
      </c>
    </row>
    <row r="154" customFormat="false" ht="15" hidden="false" customHeight="false" outlineLevel="0" collapsed="false">
      <c r="A154" s="6" t="str">
        <f aca="false">Species!B154</f>
        <v>Bracken Fern</v>
      </c>
      <c r="B154" s="6" t="str">
        <f aca="false">Species!F154</f>
        <v>Shoot</v>
      </c>
      <c r="C154" s="153" t="str">
        <f aca="false">IF(Species!$G154&lt;=Species!$H154,IF(AND(1&gt;=Species!$G154,1&lt;=Species!$H154),"H",""),IF(OR(1&gt;=Species!$G154,1&lt;=Species!$H154),"H",""))&amp;IF(Species!$I154=1,"S","")</f>
        <v/>
      </c>
      <c r="D154" s="153" t="str">
        <f aca="false">IF(Species!$G154&lt;=Species!$H154,IF(AND(2&gt;=Species!$G154,2&lt;=Species!$H154),"H",""),IF(OR(2&gt;=Species!$G154,2&lt;=Species!$H154),"H",""))&amp;IF(Species!$I154=2,"S","")</f>
        <v/>
      </c>
      <c r="E154" s="153" t="str">
        <f aca="false">IF(Species!$G154&lt;=Species!$H154,IF(AND(3&gt;=Species!$G154,3&lt;=Species!$H154),"H",""),IF(OR(3&gt;=Species!$G154,3&lt;=Species!$H154),"H",""))&amp;IF(Species!$I154=3,"S","")</f>
        <v/>
      </c>
      <c r="F154" s="153" t="str">
        <f aca="false">IF(Species!$G154&lt;=Species!$H154,IF(AND(4&gt;=Species!$G154,4&lt;=Species!$H154),"H",""),IF(OR(4&gt;=Species!$G154,4&lt;=Species!$H154),"H",""))&amp;IF(Species!$I154=4,"S","")</f>
        <v>H</v>
      </c>
      <c r="G154" s="153" t="str">
        <f aca="false">IF(Species!$G154&lt;=Species!$H154,IF(AND(5&gt;=Species!$G154,5&lt;=Species!$H154),"H",""),IF(OR(5&gt;=Species!$G154,5&lt;=Species!$H154),"H",""))&amp;IF(Species!$I154=5,"S","")</f>
        <v>H</v>
      </c>
      <c r="H154" s="153" t="str">
        <f aca="false">IF(Species!$G154&lt;=Species!$H154,IF(AND(6&gt;=Species!$G154,6&lt;=Species!$H154),"H",""),IF(OR(6&gt;=Species!$G154,6&lt;=Species!$H154),"H",""))&amp;IF(Species!$I154=6,"S","")</f>
        <v/>
      </c>
      <c r="I154" s="153" t="str">
        <f aca="false">IF(Species!$G154&lt;=Species!$H154,IF(AND(7&gt;=Species!$G154,7&lt;=Species!$H154),"H",""),IF(OR(7&gt;=Species!$G154,7&lt;=Species!$H154),"H",""))&amp;IF(Species!$I154=7,"S","")</f>
        <v/>
      </c>
      <c r="J154" s="153" t="str">
        <f aca="false">IF(Species!$G154&lt;=Species!$H154,IF(AND(8&gt;=Species!$G154,8&lt;=Species!$H154),"H",""),IF(OR(8&gt;=Species!$G154,8&lt;=Species!$H154),"H",""))&amp;IF(Species!$I154=8,"S","")</f>
        <v/>
      </c>
      <c r="K154" s="153" t="str">
        <f aca="false">IF(Species!$G154&lt;=Species!$H154,IF(AND(9&gt;=Species!$G154,9&lt;=Species!$H154),"H",""),IF(OR(9&gt;=Species!$G154,9&lt;=Species!$H154),"H",""))&amp;IF(Species!$I154=9,"S","")</f>
        <v/>
      </c>
      <c r="L154" s="153" t="str">
        <f aca="false">IF(Species!$G154&lt;=Species!$H154,IF(AND(10&gt;=Species!$G154,10&lt;=Species!$H154),"H",""),IF(OR(10&gt;=Species!$G154,10&lt;=Species!$H154),"H",""))&amp;IF(Species!$I154=10,"S","")</f>
        <v/>
      </c>
      <c r="M154" s="153" t="str">
        <f aca="false">IF(Species!$G154&lt;=Species!$H154,IF(AND(11&gt;=Species!$G154,11&lt;=Species!$H154),"H",""),IF(OR(11&gt;=Species!$G154,11&lt;=Species!$H154),"H",""))&amp;IF(Species!$I154=11,"S","")</f>
        <v/>
      </c>
      <c r="N154" s="153" t="str">
        <f aca="false">IF(Species!$G154&lt;=Species!$H154,IF(AND(12&gt;=Species!$G154,12&lt;=Species!$H154),"H",""),IF(OR(12&gt;=Species!$G154,12&lt;=Species!$H154),"H",""))&amp;IF(Species!$I154=12,"S","")</f>
        <v/>
      </c>
    </row>
    <row r="155" customFormat="false" ht="15" hidden="false" customHeight="false" outlineLevel="0" collapsed="false">
      <c r="A155" s="6" t="str">
        <f aca="false">Species!B155</f>
        <v>Christmas Fern</v>
      </c>
      <c r="B155" s="6" t="str">
        <f aca="false">Species!F155</f>
        <v>Leaf</v>
      </c>
      <c r="C155" s="153" t="str">
        <f aca="false">IF(Species!$G155&lt;=Species!$H155,IF(AND(1&gt;=Species!$G155,1&lt;=Species!$H155),"H",""),IF(OR(1&gt;=Species!$G155,1&lt;=Species!$H155),"H",""))&amp;IF(Species!$I155=1,"S","")</f>
        <v>H</v>
      </c>
      <c r="D155" s="153" t="str">
        <f aca="false">IF(Species!$G155&lt;=Species!$H155,IF(AND(2&gt;=Species!$G155,2&lt;=Species!$H155),"H",""),IF(OR(2&gt;=Species!$G155,2&lt;=Species!$H155),"H",""))&amp;IF(Species!$I155=2,"S","")</f>
        <v>H</v>
      </c>
      <c r="E155" s="153" t="str">
        <f aca="false">IF(Species!$G155&lt;=Species!$H155,IF(AND(3&gt;=Species!$G155,3&lt;=Species!$H155),"H",""),IF(OR(3&gt;=Species!$G155,3&lt;=Species!$H155),"H",""))&amp;IF(Species!$I155=3,"S","")</f>
        <v>H</v>
      </c>
      <c r="F155" s="153" t="str">
        <f aca="false">IF(Species!$G155&lt;=Species!$H155,IF(AND(4&gt;=Species!$G155,4&lt;=Species!$H155),"H",""),IF(OR(4&gt;=Species!$G155,4&lt;=Species!$H155),"H",""))&amp;IF(Species!$I155=4,"S","")</f>
        <v>H</v>
      </c>
      <c r="G155" s="153" t="str">
        <f aca="false">IF(Species!$G155&lt;=Species!$H155,IF(AND(5&gt;=Species!$G155,5&lt;=Species!$H155),"H",""),IF(OR(5&gt;=Species!$G155,5&lt;=Species!$H155),"H",""))&amp;IF(Species!$I155=5,"S","")</f>
        <v>H</v>
      </c>
      <c r="H155" s="153" t="str">
        <f aca="false">IF(Species!$G155&lt;=Species!$H155,IF(AND(6&gt;=Species!$G155,6&lt;=Species!$H155),"H",""),IF(OR(6&gt;=Species!$G155,6&lt;=Species!$H155),"H",""))&amp;IF(Species!$I155=6,"S","")</f>
        <v>H</v>
      </c>
      <c r="I155" s="153" t="str">
        <f aca="false">IF(Species!$G155&lt;=Species!$H155,IF(AND(7&gt;=Species!$G155,7&lt;=Species!$H155),"H",""),IF(OR(7&gt;=Species!$G155,7&lt;=Species!$H155),"H",""))&amp;IF(Species!$I155=7,"S","")</f>
        <v>H</v>
      </c>
      <c r="J155" s="153" t="str">
        <f aca="false">IF(Species!$G155&lt;=Species!$H155,IF(AND(8&gt;=Species!$G155,8&lt;=Species!$H155),"H",""),IF(OR(8&gt;=Species!$G155,8&lt;=Species!$H155),"H",""))&amp;IF(Species!$I155=8,"S","")</f>
        <v>H</v>
      </c>
      <c r="K155" s="153" t="str">
        <f aca="false">IF(Species!$G155&lt;=Species!$H155,IF(AND(9&gt;=Species!$G155,9&lt;=Species!$H155),"H",""),IF(OR(9&gt;=Species!$G155,9&lt;=Species!$H155),"H",""))&amp;IF(Species!$I155=9,"S","")</f>
        <v>H</v>
      </c>
      <c r="L155" s="153" t="str">
        <f aca="false">IF(Species!$G155&lt;=Species!$H155,IF(AND(10&gt;=Species!$G155,10&lt;=Species!$H155),"H",""),IF(OR(10&gt;=Species!$G155,10&lt;=Species!$H155),"H",""))&amp;IF(Species!$I155=10,"S","")</f>
        <v>H</v>
      </c>
      <c r="M155" s="153" t="str">
        <f aca="false">IF(Species!$G155&lt;=Species!$H155,IF(AND(11&gt;=Species!$G155,11&lt;=Species!$H155),"H",""),IF(OR(11&gt;=Species!$G155,11&lt;=Species!$H155),"H",""))&amp;IF(Species!$I155=11,"S","")</f>
        <v>H</v>
      </c>
      <c r="N155" s="153" t="str">
        <f aca="false">IF(Species!$G155&lt;=Species!$H155,IF(AND(12&gt;=Species!$G155,12&lt;=Species!$H155),"H",""),IF(OR(12&gt;=Species!$G155,12&lt;=Species!$H155),"H",""))&amp;IF(Species!$I155=12,"S","")</f>
        <v>H</v>
      </c>
    </row>
    <row r="156" customFormat="false" ht="15" hidden="false" customHeight="false" outlineLevel="0" collapsed="false">
      <c r="A156" s="6" t="str">
        <f aca="false">Species!B156</f>
        <v>Maidenhair Fern</v>
      </c>
      <c r="B156" s="6" t="str">
        <f aca="false">Species!F156</f>
        <v>Leaf</v>
      </c>
      <c r="C156" s="153" t="str">
        <f aca="false">IF(Species!$G156&lt;=Species!$H156,IF(AND(1&gt;=Species!$G156,1&lt;=Species!$H156),"H",""),IF(OR(1&gt;=Species!$G156,1&lt;=Species!$H156),"H",""))&amp;IF(Species!$I156=1,"S","")</f>
        <v/>
      </c>
      <c r="D156" s="153" t="str">
        <f aca="false">IF(Species!$G156&lt;=Species!$H156,IF(AND(2&gt;=Species!$G156,2&lt;=Species!$H156),"H",""),IF(OR(2&gt;=Species!$G156,2&lt;=Species!$H156),"H",""))&amp;IF(Species!$I156=2,"S","")</f>
        <v/>
      </c>
      <c r="E156" s="153" t="str">
        <f aca="false">IF(Species!$G156&lt;=Species!$H156,IF(AND(3&gt;=Species!$G156,3&lt;=Species!$H156),"H",""),IF(OR(3&gt;=Species!$G156,3&lt;=Species!$H156),"H",""))&amp;IF(Species!$I156=3,"S","")</f>
        <v/>
      </c>
      <c r="F156" s="153" t="str">
        <f aca="false">IF(Species!$G156&lt;=Species!$H156,IF(AND(4&gt;=Species!$G156,4&lt;=Species!$H156),"H",""),IF(OR(4&gt;=Species!$G156,4&lt;=Species!$H156),"H",""))&amp;IF(Species!$I156=4,"S","")</f>
        <v/>
      </c>
      <c r="G156" s="153" t="str">
        <f aca="false">IF(Species!$G156&lt;=Species!$H156,IF(AND(5&gt;=Species!$G156,5&lt;=Species!$H156),"H",""),IF(OR(5&gt;=Species!$G156,5&lt;=Species!$H156),"H",""))&amp;IF(Species!$I156=5,"S","")</f>
        <v>H</v>
      </c>
      <c r="H156" s="153" t="str">
        <f aca="false">IF(Species!$G156&lt;=Species!$H156,IF(AND(6&gt;=Species!$G156,6&lt;=Species!$H156),"H",""),IF(OR(6&gt;=Species!$G156,6&lt;=Species!$H156),"H",""))&amp;IF(Species!$I156=6,"S","")</f>
        <v>H</v>
      </c>
      <c r="I156" s="153" t="str">
        <f aca="false">IF(Species!$G156&lt;=Species!$H156,IF(AND(7&gt;=Species!$G156,7&lt;=Species!$H156),"H",""),IF(OR(7&gt;=Species!$G156,7&lt;=Species!$H156),"H",""))&amp;IF(Species!$I156=7,"S","")</f>
        <v>H</v>
      </c>
      <c r="J156" s="153" t="str">
        <f aca="false">IF(Species!$G156&lt;=Species!$H156,IF(AND(8&gt;=Species!$G156,8&lt;=Species!$H156),"H",""),IF(OR(8&gt;=Species!$G156,8&lt;=Species!$H156),"H",""))&amp;IF(Species!$I156=8,"S","")</f>
        <v>H</v>
      </c>
      <c r="K156" s="153" t="str">
        <f aca="false">IF(Species!$G156&lt;=Species!$H156,IF(AND(9&gt;=Species!$G156,9&lt;=Species!$H156),"H",""),IF(OR(9&gt;=Species!$G156,9&lt;=Species!$H156),"H",""))&amp;IF(Species!$I156=9,"S","")</f>
        <v>H</v>
      </c>
      <c r="L156" s="153" t="str">
        <f aca="false">IF(Species!$G156&lt;=Species!$H156,IF(AND(10&gt;=Species!$G156,10&lt;=Species!$H156),"H",""),IF(OR(10&gt;=Species!$G156,10&lt;=Species!$H156),"H",""))&amp;IF(Species!$I156=10,"S","")</f>
        <v/>
      </c>
      <c r="M156" s="153" t="str">
        <f aca="false">IF(Species!$G156&lt;=Species!$H156,IF(AND(11&gt;=Species!$G156,11&lt;=Species!$H156),"H",""),IF(OR(11&gt;=Species!$G156,11&lt;=Species!$H156),"H",""))&amp;IF(Species!$I156=11,"S","")</f>
        <v/>
      </c>
      <c r="N156" s="153" t="str">
        <f aca="false">IF(Species!$G156&lt;=Species!$H156,IF(AND(12&gt;=Species!$G156,12&lt;=Species!$H156),"H",""),IF(OR(12&gt;=Species!$G156,12&lt;=Species!$H156),"H",""))&amp;IF(Species!$I156=12,"S","")</f>
        <v/>
      </c>
    </row>
    <row r="157" customFormat="false" ht="15" hidden="false" customHeight="false" outlineLevel="0" collapsed="false">
      <c r="A157" s="6" t="str">
        <f aca="false">Species!B157</f>
        <v>Partridge Berry</v>
      </c>
      <c r="B157" s="6" t="str">
        <f aca="false">Species!F157</f>
        <v>Leaf</v>
      </c>
      <c r="C157" s="153" t="str">
        <f aca="false">IF(Species!$G157&lt;=Species!$H157,IF(AND(1&gt;=Species!$G157,1&lt;=Species!$H157),"H",""),IF(OR(1&gt;=Species!$G157,1&lt;=Species!$H157),"H",""))&amp;IF(Species!$I157=1,"S","")</f>
        <v>H</v>
      </c>
      <c r="D157" s="153" t="str">
        <f aca="false">IF(Species!$G157&lt;=Species!$H157,IF(AND(2&gt;=Species!$G157,2&lt;=Species!$H157),"H",""),IF(OR(2&gt;=Species!$G157,2&lt;=Species!$H157),"H",""))&amp;IF(Species!$I157=2,"S","")</f>
        <v>H</v>
      </c>
      <c r="E157" s="153" t="str">
        <f aca="false">IF(Species!$G157&lt;=Species!$H157,IF(AND(3&gt;=Species!$G157,3&lt;=Species!$H157),"H",""),IF(OR(3&gt;=Species!$G157,3&lt;=Species!$H157),"H",""))&amp;IF(Species!$I157=3,"S","")</f>
        <v>H</v>
      </c>
      <c r="F157" s="153" t="str">
        <f aca="false">IF(Species!$G157&lt;=Species!$H157,IF(AND(4&gt;=Species!$G157,4&lt;=Species!$H157),"H",""),IF(OR(4&gt;=Species!$G157,4&lt;=Species!$H157),"H",""))&amp;IF(Species!$I157=4,"S","")</f>
        <v>H</v>
      </c>
      <c r="G157" s="153" t="str">
        <f aca="false">IF(Species!$G157&lt;=Species!$H157,IF(AND(5&gt;=Species!$G157,5&lt;=Species!$H157),"H",""),IF(OR(5&gt;=Species!$G157,5&lt;=Species!$H157),"H",""))&amp;IF(Species!$I157=5,"S","")</f>
        <v>H</v>
      </c>
      <c r="H157" s="153" t="str">
        <f aca="false">IF(Species!$G157&lt;=Species!$H157,IF(AND(6&gt;=Species!$G157,6&lt;=Species!$H157),"H",""),IF(OR(6&gt;=Species!$G157,6&lt;=Species!$H157),"H",""))&amp;IF(Species!$I157=6,"S","")</f>
        <v>H</v>
      </c>
      <c r="I157" s="153" t="str">
        <f aca="false">IF(Species!$G157&lt;=Species!$H157,IF(AND(7&gt;=Species!$G157,7&lt;=Species!$H157),"H",""),IF(OR(7&gt;=Species!$G157,7&lt;=Species!$H157),"H",""))&amp;IF(Species!$I157=7,"S","")</f>
        <v>H</v>
      </c>
      <c r="J157" s="153" t="str">
        <f aca="false">IF(Species!$G157&lt;=Species!$H157,IF(AND(8&gt;=Species!$G157,8&lt;=Species!$H157),"H",""),IF(OR(8&gt;=Species!$G157,8&lt;=Species!$H157),"H",""))&amp;IF(Species!$I157=8,"S","")</f>
        <v>H</v>
      </c>
      <c r="K157" s="153" t="str">
        <f aca="false">IF(Species!$G157&lt;=Species!$H157,IF(AND(9&gt;=Species!$G157,9&lt;=Species!$H157),"H",""),IF(OR(9&gt;=Species!$G157,9&lt;=Species!$H157),"H",""))&amp;IF(Species!$I157=9,"S","")</f>
        <v>H</v>
      </c>
      <c r="L157" s="153" t="str">
        <f aca="false">IF(Species!$G157&lt;=Species!$H157,IF(AND(10&gt;=Species!$G157,10&lt;=Species!$H157),"H",""),IF(OR(10&gt;=Species!$G157,10&lt;=Species!$H157),"H",""))&amp;IF(Species!$I157=10,"S","")</f>
        <v>H</v>
      </c>
      <c r="M157" s="153" t="str">
        <f aca="false">IF(Species!$G157&lt;=Species!$H157,IF(AND(11&gt;=Species!$G157,11&lt;=Species!$H157),"H",""),IF(OR(11&gt;=Species!$G157,11&lt;=Species!$H157),"H",""))&amp;IF(Species!$I157=11,"S","")</f>
        <v>H</v>
      </c>
      <c r="N157" s="153" t="str">
        <f aca="false">IF(Species!$G157&lt;=Species!$H157,IF(AND(12&gt;=Species!$G157,12&lt;=Species!$H157),"H",""),IF(OR(12&gt;=Species!$G157,12&lt;=Species!$H157),"H",""))&amp;IF(Species!$I157=12,"S","")</f>
        <v>H</v>
      </c>
    </row>
    <row r="158" customFormat="false" ht="15" hidden="false" customHeight="false" outlineLevel="0" collapsed="false">
      <c r="A158" s="6" t="str">
        <f aca="false">Species!B158</f>
        <v>Wintergreen</v>
      </c>
      <c r="B158" s="6" t="str">
        <f aca="false">Species!F158</f>
        <v>Leaf</v>
      </c>
      <c r="C158" s="153" t="str">
        <f aca="false">IF(Species!$G158&lt;=Species!$H158,IF(AND(1&gt;=Species!$G158,1&lt;=Species!$H158),"H",""),IF(OR(1&gt;=Species!$G158,1&lt;=Species!$H158),"H",""))&amp;IF(Species!$I158=1,"S","")</f>
        <v>H</v>
      </c>
      <c r="D158" s="153" t="str">
        <f aca="false">IF(Species!$G158&lt;=Species!$H158,IF(AND(2&gt;=Species!$G158,2&lt;=Species!$H158),"H",""),IF(OR(2&gt;=Species!$G158,2&lt;=Species!$H158),"H",""))&amp;IF(Species!$I158=2,"S","")</f>
        <v>H</v>
      </c>
      <c r="E158" s="153" t="str">
        <f aca="false">IF(Species!$G158&lt;=Species!$H158,IF(AND(3&gt;=Species!$G158,3&lt;=Species!$H158),"H",""),IF(OR(3&gt;=Species!$G158,3&lt;=Species!$H158),"H",""))&amp;IF(Species!$I158=3,"S","")</f>
        <v>H</v>
      </c>
      <c r="F158" s="153" t="str">
        <f aca="false">IF(Species!$G158&lt;=Species!$H158,IF(AND(4&gt;=Species!$G158,4&lt;=Species!$H158),"H",""),IF(OR(4&gt;=Species!$G158,4&lt;=Species!$H158),"H",""))&amp;IF(Species!$I158=4,"S","")</f>
        <v>H</v>
      </c>
      <c r="G158" s="153" t="str">
        <f aca="false">IF(Species!$G158&lt;=Species!$H158,IF(AND(5&gt;=Species!$G158,5&lt;=Species!$H158),"H",""),IF(OR(5&gt;=Species!$G158,5&lt;=Species!$H158),"H",""))&amp;IF(Species!$I158=5,"S","")</f>
        <v>H</v>
      </c>
      <c r="H158" s="153" t="str">
        <f aca="false">IF(Species!$G158&lt;=Species!$H158,IF(AND(6&gt;=Species!$G158,6&lt;=Species!$H158),"H",""),IF(OR(6&gt;=Species!$G158,6&lt;=Species!$H158),"H",""))&amp;IF(Species!$I158=6,"S","")</f>
        <v>H</v>
      </c>
      <c r="I158" s="153" t="str">
        <f aca="false">IF(Species!$G158&lt;=Species!$H158,IF(AND(7&gt;=Species!$G158,7&lt;=Species!$H158),"H",""),IF(OR(7&gt;=Species!$G158,7&lt;=Species!$H158),"H",""))&amp;IF(Species!$I158=7,"S","")</f>
        <v>H</v>
      </c>
      <c r="J158" s="153" t="str">
        <f aca="false">IF(Species!$G158&lt;=Species!$H158,IF(AND(8&gt;=Species!$G158,8&lt;=Species!$H158),"H",""),IF(OR(8&gt;=Species!$G158,8&lt;=Species!$H158),"H",""))&amp;IF(Species!$I158=8,"S","")</f>
        <v>H</v>
      </c>
      <c r="K158" s="153" t="str">
        <f aca="false">IF(Species!$G158&lt;=Species!$H158,IF(AND(9&gt;=Species!$G158,9&lt;=Species!$H158),"H",""),IF(OR(9&gt;=Species!$G158,9&lt;=Species!$H158),"H",""))&amp;IF(Species!$I158=9,"S","")</f>
        <v>H</v>
      </c>
      <c r="L158" s="153" t="str">
        <f aca="false">IF(Species!$G158&lt;=Species!$H158,IF(AND(10&gt;=Species!$G158,10&lt;=Species!$H158),"H",""),IF(OR(10&gt;=Species!$G158,10&lt;=Species!$H158),"H",""))&amp;IF(Species!$I158=10,"S","")</f>
        <v>H</v>
      </c>
      <c r="M158" s="153" t="str">
        <f aca="false">IF(Species!$G158&lt;=Species!$H158,IF(AND(11&gt;=Species!$G158,11&lt;=Species!$H158),"H",""),IF(OR(11&gt;=Species!$G158,11&lt;=Species!$H158),"H",""))&amp;IF(Species!$I158=11,"S","")</f>
        <v>H</v>
      </c>
      <c r="N158" s="153" t="str">
        <f aca="false">IF(Species!$G158&lt;=Species!$H158,IF(AND(12&gt;=Species!$G158,12&lt;=Species!$H158),"H",""),IF(OR(12&gt;=Species!$G158,12&lt;=Species!$H158),"H",""))&amp;IF(Species!$I158=12,"S","")</f>
        <v>H</v>
      </c>
    </row>
    <row r="159" customFormat="false" ht="15" hidden="false" customHeight="false" outlineLevel="0" collapsed="false">
      <c r="A159" s="6" t="str">
        <f aca="false">Species!B159</f>
        <v>Pipsissewa</v>
      </c>
      <c r="B159" s="6" t="str">
        <f aca="false">Species!F159</f>
        <v>Leaf</v>
      </c>
      <c r="C159" s="153" t="str">
        <f aca="false">IF(Species!$G159&lt;=Species!$H159,IF(AND(1&gt;=Species!$G159,1&lt;=Species!$H159),"H",""),IF(OR(1&gt;=Species!$G159,1&lt;=Species!$H159),"H",""))&amp;IF(Species!$I159=1,"S","")</f>
        <v>H</v>
      </c>
      <c r="D159" s="153" t="str">
        <f aca="false">IF(Species!$G159&lt;=Species!$H159,IF(AND(2&gt;=Species!$G159,2&lt;=Species!$H159),"H",""),IF(OR(2&gt;=Species!$G159,2&lt;=Species!$H159),"H",""))&amp;IF(Species!$I159=2,"S","")</f>
        <v>H</v>
      </c>
      <c r="E159" s="153" t="str">
        <f aca="false">IF(Species!$G159&lt;=Species!$H159,IF(AND(3&gt;=Species!$G159,3&lt;=Species!$H159),"H",""),IF(OR(3&gt;=Species!$G159,3&lt;=Species!$H159),"H",""))&amp;IF(Species!$I159=3,"S","")</f>
        <v>H</v>
      </c>
      <c r="F159" s="153" t="str">
        <f aca="false">IF(Species!$G159&lt;=Species!$H159,IF(AND(4&gt;=Species!$G159,4&lt;=Species!$H159),"H",""),IF(OR(4&gt;=Species!$G159,4&lt;=Species!$H159),"H",""))&amp;IF(Species!$I159=4,"S","")</f>
        <v>H</v>
      </c>
      <c r="G159" s="153" t="str">
        <f aca="false">IF(Species!$G159&lt;=Species!$H159,IF(AND(5&gt;=Species!$G159,5&lt;=Species!$H159),"H",""),IF(OR(5&gt;=Species!$G159,5&lt;=Species!$H159),"H",""))&amp;IF(Species!$I159=5,"S","")</f>
        <v>H</v>
      </c>
      <c r="H159" s="153" t="str">
        <f aca="false">IF(Species!$G159&lt;=Species!$H159,IF(AND(6&gt;=Species!$G159,6&lt;=Species!$H159),"H",""),IF(OR(6&gt;=Species!$G159,6&lt;=Species!$H159),"H",""))&amp;IF(Species!$I159=6,"S","")</f>
        <v>H</v>
      </c>
      <c r="I159" s="153" t="str">
        <f aca="false">IF(Species!$G159&lt;=Species!$H159,IF(AND(7&gt;=Species!$G159,7&lt;=Species!$H159),"H",""),IF(OR(7&gt;=Species!$G159,7&lt;=Species!$H159),"H",""))&amp;IF(Species!$I159=7,"S","")</f>
        <v>H</v>
      </c>
      <c r="J159" s="153" t="str">
        <f aca="false">IF(Species!$G159&lt;=Species!$H159,IF(AND(8&gt;=Species!$G159,8&lt;=Species!$H159),"H",""),IF(OR(8&gt;=Species!$G159,8&lt;=Species!$H159),"H",""))&amp;IF(Species!$I159=8,"S","")</f>
        <v>H</v>
      </c>
      <c r="K159" s="153" t="str">
        <f aca="false">IF(Species!$G159&lt;=Species!$H159,IF(AND(9&gt;=Species!$G159,9&lt;=Species!$H159),"H",""),IF(OR(9&gt;=Species!$G159,9&lt;=Species!$H159),"H",""))&amp;IF(Species!$I159=9,"S","")</f>
        <v>H</v>
      </c>
      <c r="L159" s="153" t="str">
        <f aca="false">IF(Species!$G159&lt;=Species!$H159,IF(AND(10&gt;=Species!$G159,10&lt;=Species!$H159),"H",""),IF(OR(10&gt;=Species!$G159,10&lt;=Species!$H159),"H",""))&amp;IF(Species!$I159=10,"S","")</f>
        <v>H</v>
      </c>
      <c r="M159" s="153" t="str">
        <f aca="false">IF(Species!$G159&lt;=Species!$H159,IF(AND(11&gt;=Species!$G159,11&lt;=Species!$H159),"H",""),IF(OR(11&gt;=Species!$G159,11&lt;=Species!$H159),"H",""))&amp;IF(Species!$I159=11,"S","")</f>
        <v>H</v>
      </c>
      <c r="N159" s="153" t="str">
        <f aca="false">IF(Species!$G159&lt;=Species!$H159,IF(AND(12&gt;=Species!$G159,12&lt;=Species!$H159),"H",""),IF(OR(12&gt;=Species!$G159,12&lt;=Species!$H159),"H",""))&amp;IF(Species!$I159=12,"S","")</f>
        <v>H</v>
      </c>
    </row>
    <row r="160" customFormat="false" ht="15" hidden="false" customHeight="false" outlineLevel="0" collapsed="false">
      <c r="A160" s="6" t="str">
        <f aca="false">Species!B160</f>
        <v>Rattlesnake Fern</v>
      </c>
      <c r="B160" s="6" t="str">
        <f aca="false">Species!F160</f>
        <v>Whole</v>
      </c>
      <c r="C160" s="153" t="str">
        <f aca="false">IF(Species!$G160&lt;=Species!$H160,IF(AND(1&gt;=Species!$G160,1&lt;=Species!$H160),"H",""),IF(OR(1&gt;=Species!$G160,1&lt;=Species!$H160),"H",""))&amp;IF(Species!$I160=1,"S","")</f>
        <v/>
      </c>
      <c r="D160" s="153" t="str">
        <f aca="false">IF(Species!$G160&lt;=Species!$H160,IF(AND(2&gt;=Species!$G160,2&lt;=Species!$H160),"H",""),IF(OR(2&gt;=Species!$G160,2&lt;=Species!$H160),"H",""))&amp;IF(Species!$I160=2,"S","")</f>
        <v/>
      </c>
      <c r="E160" s="153" t="str">
        <f aca="false">IF(Species!$G160&lt;=Species!$H160,IF(AND(3&gt;=Species!$G160,3&lt;=Species!$H160),"H",""),IF(OR(3&gt;=Species!$G160,3&lt;=Species!$H160),"H",""))&amp;IF(Species!$I160=3,"S","")</f>
        <v/>
      </c>
      <c r="F160" s="153" t="str">
        <f aca="false">IF(Species!$G160&lt;=Species!$H160,IF(AND(4&gt;=Species!$G160,4&lt;=Species!$H160),"H",""),IF(OR(4&gt;=Species!$G160,4&lt;=Species!$H160),"H",""))&amp;IF(Species!$I160=4,"S","")</f>
        <v/>
      </c>
      <c r="G160" s="153" t="str">
        <f aca="false">IF(Species!$G160&lt;=Species!$H160,IF(AND(5&gt;=Species!$G160,5&lt;=Species!$H160),"H",""),IF(OR(5&gt;=Species!$G160,5&lt;=Species!$H160),"H",""))&amp;IF(Species!$I160=5,"S","")</f>
        <v>H</v>
      </c>
      <c r="H160" s="153" t="str">
        <f aca="false">IF(Species!$G160&lt;=Species!$H160,IF(AND(6&gt;=Species!$G160,6&lt;=Species!$H160),"H",""),IF(OR(6&gt;=Species!$G160,6&lt;=Species!$H160),"H",""))&amp;IF(Species!$I160=6,"S","")</f>
        <v>H</v>
      </c>
      <c r="I160" s="153" t="str">
        <f aca="false">IF(Species!$G160&lt;=Species!$H160,IF(AND(7&gt;=Species!$G160,7&lt;=Species!$H160),"H",""),IF(OR(7&gt;=Species!$G160,7&lt;=Species!$H160),"H",""))&amp;IF(Species!$I160=7,"S","")</f>
        <v/>
      </c>
      <c r="J160" s="153" t="str">
        <f aca="false">IF(Species!$G160&lt;=Species!$H160,IF(AND(8&gt;=Species!$G160,8&lt;=Species!$H160),"H",""),IF(OR(8&gt;=Species!$G160,8&lt;=Species!$H160),"H",""))&amp;IF(Species!$I160=8,"S","")</f>
        <v/>
      </c>
      <c r="K160" s="153" t="str">
        <f aca="false">IF(Species!$G160&lt;=Species!$H160,IF(AND(9&gt;=Species!$G160,9&lt;=Species!$H160),"H",""),IF(OR(9&gt;=Species!$G160,9&lt;=Species!$H160),"H",""))&amp;IF(Species!$I160=9,"S","")</f>
        <v/>
      </c>
      <c r="L160" s="153" t="str">
        <f aca="false">IF(Species!$G160&lt;=Species!$H160,IF(AND(10&gt;=Species!$G160,10&lt;=Species!$H160),"H",""),IF(OR(10&gt;=Species!$G160,10&lt;=Species!$H160),"H",""))&amp;IF(Species!$I160=10,"S","")</f>
        <v/>
      </c>
      <c r="M160" s="153" t="str">
        <f aca="false">IF(Species!$G160&lt;=Species!$H160,IF(AND(11&gt;=Species!$G160,11&lt;=Species!$H160),"H",""),IF(OR(11&gt;=Species!$G160,11&lt;=Species!$H160),"H",""))&amp;IF(Species!$I160=11,"S","")</f>
        <v/>
      </c>
      <c r="N160" s="153" t="str">
        <f aca="false">IF(Species!$G160&lt;=Species!$H160,IF(AND(12&gt;=Species!$G160,12&lt;=Species!$H160),"H",""),IF(OR(12&gt;=Species!$G160,12&lt;=Species!$H160),"H",""))&amp;IF(Species!$I160=12,"S","")</f>
        <v/>
      </c>
    </row>
    <row r="161" customFormat="false" ht="15" hidden="false" customHeight="false" outlineLevel="0" collapsed="false">
      <c r="A161" s="6" t="str">
        <f aca="false">Species!B161</f>
        <v>Ghost Pipe</v>
      </c>
      <c r="B161" s="6" t="str">
        <f aca="false">Species!F161</f>
        <v>Whole</v>
      </c>
      <c r="C161" s="153" t="str">
        <f aca="false">IF(Species!$G161&lt;=Species!$H161,IF(AND(1&gt;=Species!$G161,1&lt;=Species!$H161),"H",""),IF(OR(1&gt;=Species!$G161,1&lt;=Species!$H161),"H",""))&amp;IF(Species!$I161=1,"S","")</f>
        <v/>
      </c>
      <c r="D161" s="153" t="str">
        <f aca="false">IF(Species!$G161&lt;=Species!$H161,IF(AND(2&gt;=Species!$G161,2&lt;=Species!$H161),"H",""),IF(OR(2&gt;=Species!$G161,2&lt;=Species!$H161),"H",""))&amp;IF(Species!$I161=2,"S","")</f>
        <v/>
      </c>
      <c r="E161" s="153" t="str">
        <f aca="false">IF(Species!$G161&lt;=Species!$H161,IF(AND(3&gt;=Species!$G161,3&lt;=Species!$H161),"H",""),IF(OR(3&gt;=Species!$G161,3&lt;=Species!$H161),"H",""))&amp;IF(Species!$I161=3,"S","")</f>
        <v/>
      </c>
      <c r="F161" s="153" t="str">
        <f aca="false">IF(Species!$G161&lt;=Species!$H161,IF(AND(4&gt;=Species!$G161,4&lt;=Species!$H161),"H",""),IF(OR(4&gt;=Species!$G161,4&lt;=Species!$H161),"H",""))&amp;IF(Species!$I161=4,"S","")</f>
        <v/>
      </c>
      <c r="G161" s="153" t="str">
        <f aca="false">IF(Species!$G161&lt;=Species!$H161,IF(AND(5&gt;=Species!$G161,5&lt;=Species!$H161),"H",""),IF(OR(5&gt;=Species!$G161,5&lt;=Species!$H161),"H",""))&amp;IF(Species!$I161=5,"S","")</f>
        <v/>
      </c>
      <c r="H161" s="153" t="str">
        <f aca="false">IF(Species!$G161&lt;=Species!$H161,IF(AND(6&gt;=Species!$G161,6&lt;=Species!$H161),"H",""),IF(OR(6&gt;=Species!$G161,6&lt;=Species!$H161),"H",""))&amp;IF(Species!$I161=6,"S","")</f>
        <v/>
      </c>
      <c r="I161" s="153" t="str">
        <f aca="false">IF(Species!$G161&lt;=Species!$H161,IF(AND(7&gt;=Species!$G161,7&lt;=Species!$H161),"H",""),IF(OR(7&gt;=Species!$G161,7&lt;=Species!$H161),"H",""))&amp;IF(Species!$I161=7,"S","")</f>
        <v>H</v>
      </c>
      <c r="J161" s="153" t="str">
        <f aca="false">IF(Species!$G161&lt;=Species!$H161,IF(AND(8&gt;=Species!$G161,8&lt;=Species!$H161),"H",""),IF(OR(8&gt;=Species!$G161,8&lt;=Species!$H161),"H",""))&amp;IF(Species!$I161=8,"S","")</f>
        <v>H</v>
      </c>
      <c r="K161" s="153" t="str">
        <f aca="false">IF(Species!$G161&lt;=Species!$H161,IF(AND(9&gt;=Species!$G161,9&lt;=Species!$H161),"H",""),IF(OR(9&gt;=Species!$G161,9&lt;=Species!$H161),"H",""))&amp;IF(Species!$I161=9,"S","")</f>
        <v>H</v>
      </c>
      <c r="L161" s="153" t="str">
        <f aca="false">IF(Species!$G161&lt;=Species!$H161,IF(AND(10&gt;=Species!$G161,10&lt;=Species!$H161),"H",""),IF(OR(10&gt;=Species!$G161,10&lt;=Species!$H161),"H",""))&amp;IF(Species!$I161=10,"S","")</f>
        <v/>
      </c>
      <c r="M161" s="153" t="str">
        <f aca="false">IF(Species!$G161&lt;=Species!$H161,IF(AND(11&gt;=Species!$G161,11&lt;=Species!$H161),"H",""),IF(OR(11&gt;=Species!$G161,11&lt;=Species!$H161),"H",""))&amp;IF(Species!$I161=11,"S","")</f>
        <v/>
      </c>
      <c r="N161" s="153" t="str">
        <f aca="false">IF(Species!$G161&lt;=Species!$H161,IF(AND(12&gt;=Species!$G161,12&lt;=Species!$H161),"H",""),IF(OR(12&gt;=Species!$G161,12&lt;=Species!$H161),"H",""))&amp;IF(Species!$I161=12,"S","")</f>
        <v/>
      </c>
    </row>
    <row r="162" customFormat="false" ht="15" hidden="false" customHeight="false" outlineLevel="0" collapsed="false">
      <c r="A162" s="6" t="str">
        <f aca="false">Species!B162</f>
        <v>Bear's Head Tooth</v>
      </c>
      <c r="B162" s="6" t="str">
        <f aca="false">Species!F162</f>
        <v>Fruiting body</v>
      </c>
      <c r="C162" s="153" t="str">
        <f aca="false">IF(Species!$G162&lt;=Species!$H162,IF(AND(1&gt;=Species!$G162,1&lt;=Species!$H162),"H",""),IF(OR(1&gt;=Species!$G162,1&lt;=Species!$H162),"H",""))&amp;IF(Species!$I162=1,"S","")</f>
        <v/>
      </c>
      <c r="D162" s="153" t="str">
        <f aca="false">IF(Species!$G162&lt;=Species!$H162,IF(AND(2&gt;=Species!$G162,2&lt;=Species!$H162),"H",""),IF(OR(2&gt;=Species!$G162,2&lt;=Species!$H162),"H",""))&amp;IF(Species!$I162=2,"S","")</f>
        <v/>
      </c>
      <c r="E162" s="153" t="str">
        <f aca="false">IF(Species!$G162&lt;=Species!$H162,IF(AND(3&gt;=Species!$G162,3&lt;=Species!$H162),"H",""),IF(OR(3&gt;=Species!$G162,3&lt;=Species!$H162),"H",""))&amp;IF(Species!$I162=3,"S","")</f>
        <v/>
      </c>
      <c r="F162" s="153" t="str">
        <f aca="false">IF(Species!$G162&lt;=Species!$H162,IF(AND(4&gt;=Species!$G162,4&lt;=Species!$H162),"H",""),IF(OR(4&gt;=Species!$G162,4&lt;=Species!$H162),"H",""))&amp;IF(Species!$I162=4,"S","")</f>
        <v/>
      </c>
      <c r="G162" s="153" t="str">
        <f aca="false">IF(Species!$G162&lt;=Species!$H162,IF(AND(5&gt;=Species!$G162,5&lt;=Species!$H162),"H",""),IF(OR(5&gt;=Species!$G162,5&lt;=Species!$H162),"H",""))&amp;IF(Species!$I162=5,"S","")</f>
        <v/>
      </c>
      <c r="H162" s="153" t="str">
        <f aca="false">IF(Species!$G162&lt;=Species!$H162,IF(AND(6&gt;=Species!$G162,6&lt;=Species!$H162),"H",""),IF(OR(6&gt;=Species!$G162,6&lt;=Species!$H162),"H",""))&amp;IF(Species!$I162=6,"S","")</f>
        <v/>
      </c>
      <c r="I162" s="153" t="str">
        <f aca="false">IF(Species!$G162&lt;=Species!$H162,IF(AND(7&gt;=Species!$G162,7&lt;=Species!$H162),"H",""),IF(OR(7&gt;=Species!$G162,7&lt;=Species!$H162),"H",""))&amp;IF(Species!$I162=7,"S","")</f>
        <v/>
      </c>
      <c r="J162" s="153" t="str">
        <f aca="false">IF(Species!$G162&lt;=Species!$H162,IF(AND(8&gt;=Species!$G162,8&lt;=Species!$H162),"H",""),IF(OR(8&gt;=Species!$G162,8&lt;=Species!$H162),"H",""))&amp;IF(Species!$I162=8,"S","")</f>
        <v>H</v>
      </c>
      <c r="K162" s="153" t="str">
        <f aca="false">IF(Species!$G162&lt;=Species!$H162,IF(AND(9&gt;=Species!$G162,9&lt;=Species!$H162),"H",""),IF(OR(9&gt;=Species!$G162,9&lt;=Species!$H162),"H",""))&amp;IF(Species!$I162=9,"S","")</f>
        <v>H</v>
      </c>
      <c r="L162" s="153" t="str">
        <f aca="false">IF(Species!$G162&lt;=Species!$H162,IF(AND(10&gt;=Species!$G162,10&lt;=Species!$H162),"H",""),IF(OR(10&gt;=Species!$G162,10&lt;=Species!$H162),"H",""))&amp;IF(Species!$I162=10,"S","")</f>
        <v>H</v>
      </c>
      <c r="M162" s="153" t="str">
        <f aca="false">IF(Species!$G162&lt;=Species!$H162,IF(AND(11&gt;=Species!$G162,11&lt;=Species!$H162),"H",""),IF(OR(11&gt;=Species!$G162,11&lt;=Species!$H162),"H",""))&amp;IF(Species!$I162=11,"S","")</f>
        <v/>
      </c>
      <c r="N162" s="153" t="str">
        <f aca="false">IF(Species!$G162&lt;=Species!$H162,IF(AND(12&gt;=Species!$G162,12&lt;=Species!$H162),"H",""),IF(OR(12&gt;=Species!$G162,12&lt;=Species!$H162),"H",""))&amp;IF(Species!$I162=12,"S","")</f>
        <v/>
      </c>
    </row>
    <row r="163" customFormat="false" ht="15" hidden="false" customHeight="false" outlineLevel="0" collapsed="false">
      <c r="A163" s="6" t="str">
        <f aca="false">Species!B163</f>
        <v>Chicken of the Woods</v>
      </c>
      <c r="B163" s="6" t="str">
        <f aca="false">Species!F163</f>
        <v>Fruiting body</v>
      </c>
      <c r="C163" s="153" t="str">
        <f aca="false">IF(Species!$G163&lt;=Species!$H163,IF(AND(1&gt;=Species!$G163,1&lt;=Species!$H163),"H",""),IF(OR(1&gt;=Species!$G163,1&lt;=Species!$H163),"H",""))&amp;IF(Species!$I163=1,"S","")</f>
        <v/>
      </c>
      <c r="D163" s="153" t="str">
        <f aca="false">IF(Species!$G163&lt;=Species!$H163,IF(AND(2&gt;=Species!$G163,2&lt;=Species!$H163),"H",""),IF(OR(2&gt;=Species!$G163,2&lt;=Species!$H163),"H",""))&amp;IF(Species!$I163=2,"S","")</f>
        <v/>
      </c>
      <c r="E163" s="153" t="str">
        <f aca="false">IF(Species!$G163&lt;=Species!$H163,IF(AND(3&gt;=Species!$G163,3&lt;=Species!$H163),"H",""),IF(OR(3&gt;=Species!$G163,3&lt;=Species!$H163),"H",""))&amp;IF(Species!$I163=3,"S","")</f>
        <v/>
      </c>
      <c r="F163" s="153" t="str">
        <f aca="false">IF(Species!$G163&lt;=Species!$H163,IF(AND(4&gt;=Species!$G163,4&lt;=Species!$H163),"H",""),IF(OR(4&gt;=Species!$G163,4&lt;=Species!$H163),"H",""))&amp;IF(Species!$I163=4,"S","")</f>
        <v/>
      </c>
      <c r="G163" s="153" t="str">
        <f aca="false">IF(Species!$G163&lt;=Species!$H163,IF(AND(5&gt;=Species!$G163,5&lt;=Species!$H163),"H",""),IF(OR(5&gt;=Species!$G163,5&lt;=Species!$H163),"H",""))&amp;IF(Species!$I163=5,"S","")</f>
        <v/>
      </c>
      <c r="H163" s="153" t="str">
        <f aca="false">IF(Species!$G163&lt;=Species!$H163,IF(AND(6&gt;=Species!$G163,6&lt;=Species!$H163),"H",""),IF(OR(6&gt;=Species!$G163,6&lt;=Species!$H163),"H",""))&amp;IF(Species!$I163=6,"S","")</f>
        <v>H</v>
      </c>
      <c r="I163" s="153" t="str">
        <f aca="false">IF(Species!$G163&lt;=Species!$H163,IF(AND(7&gt;=Species!$G163,7&lt;=Species!$H163),"H",""),IF(OR(7&gt;=Species!$G163,7&lt;=Species!$H163),"H",""))&amp;IF(Species!$I163=7,"S","")</f>
        <v>H</v>
      </c>
      <c r="J163" s="153" t="str">
        <f aca="false">IF(Species!$G163&lt;=Species!$H163,IF(AND(8&gt;=Species!$G163,8&lt;=Species!$H163),"H",""),IF(OR(8&gt;=Species!$G163,8&lt;=Species!$H163),"H",""))&amp;IF(Species!$I163=8,"S","")</f>
        <v>H</v>
      </c>
      <c r="K163" s="153" t="str">
        <f aca="false">IF(Species!$G163&lt;=Species!$H163,IF(AND(9&gt;=Species!$G163,9&lt;=Species!$H163),"H",""),IF(OR(9&gt;=Species!$G163,9&lt;=Species!$H163),"H",""))&amp;IF(Species!$I163=9,"S","")</f>
        <v>H</v>
      </c>
      <c r="L163" s="153" t="str">
        <f aca="false">IF(Species!$G163&lt;=Species!$H163,IF(AND(10&gt;=Species!$G163,10&lt;=Species!$H163),"H",""),IF(OR(10&gt;=Species!$G163,10&lt;=Species!$H163),"H",""))&amp;IF(Species!$I163=10,"S","")</f>
        <v>H</v>
      </c>
      <c r="M163" s="153" t="str">
        <f aca="false">IF(Species!$G163&lt;=Species!$H163,IF(AND(11&gt;=Species!$G163,11&lt;=Species!$H163),"H",""),IF(OR(11&gt;=Species!$G163,11&lt;=Species!$H163),"H",""))&amp;IF(Species!$I163=11,"S","")</f>
        <v/>
      </c>
      <c r="N163" s="153" t="str">
        <f aca="false">IF(Species!$G163&lt;=Species!$H163,IF(AND(12&gt;=Species!$G163,12&lt;=Species!$H163),"H",""),IF(OR(12&gt;=Species!$G163,12&lt;=Species!$H163),"H",""))&amp;IF(Species!$I163=12,"S","")</f>
        <v/>
      </c>
    </row>
    <row r="164" customFormat="false" ht="15" hidden="false" customHeight="false" outlineLevel="0" collapsed="false">
      <c r="A164" s="6" t="str">
        <f aca="false">Species!B164</f>
        <v>Turkey Tail</v>
      </c>
      <c r="B164" s="6" t="str">
        <f aca="false">Species!F164</f>
        <v>Fruiting body</v>
      </c>
      <c r="C164" s="153" t="str">
        <f aca="false">IF(Species!$G164&lt;=Species!$H164,IF(AND(1&gt;=Species!$G164,1&lt;=Species!$H164),"H",""),IF(OR(1&gt;=Species!$G164,1&lt;=Species!$H164),"H",""))&amp;IF(Species!$I164=1,"S","")</f>
        <v>H</v>
      </c>
      <c r="D164" s="153" t="str">
        <f aca="false">IF(Species!$G164&lt;=Species!$H164,IF(AND(2&gt;=Species!$G164,2&lt;=Species!$H164),"H",""),IF(OR(2&gt;=Species!$G164,2&lt;=Species!$H164),"H",""))&amp;IF(Species!$I164=2,"S","")</f>
        <v>H</v>
      </c>
      <c r="E164" s="153" t="str">
        <f aca="false">IF(Species!$G164&lt;=Species!$H164,IF(AND(3&gt;=Species!$G164,3&lt;=Species!$H164),"H",""),IF(OR(3&gt;=Species!$G164,3&lt;=Species!$H164),"H",""))&amp;IF(Species!$I164=3,"S","")</f>
        <v>H</v>
      </c>
      <c r="F164" s="153" t="str">
        <f aca="false">IF(Species!$G164&lt;=Species!$H164,IF(AND(4&gt;=Species!$G164,4&lt;=Species!$H164),"H",""),IF(OR(4&gt;=Species!$G164,4&lt;=Species!$H164),"H",""))&amp;IF(Species!$I164=4,"S","")</f>
        <v>H</v>
      </c>
      <c r="G164" s="153" t="str">
        <f aca="false">IF(Species!$G164&lt;=Species!$H164,IF(AND(5&gt;=Species!$G164,5&lt;=Species!$H164),"H",""),IF(OR(5&gt;=Species!$G164,5&lt;=Species!$H164),"H",""))&amp;IF(Species!$I164=5,"S","")</f>
        <v>H</v>
      </c>
      <c r="H164" s="153" t="str">
        <f aca="false">IF(Species!$G164&lt;=Species!$H164,IF(AND(6&gt;=Species!$G164,6&lt;=Species!$H164),"H",""),IF(OR(6&gt;=Species!$G164,6&lt;=Species!$H164),"H",""))&amp;IF(Species!$I164=6,"S","")</f>
        <v>H</v>
      </c>
      <c r="I164" s="153" t="str">
        <f aca="false">IF(Species!$G164&lt;=Species!$H164,IF(AND(7&gt;=Species!$G164,7&lt;=Species!$H164),"H",""),IF(OR(7&gt;=Species!$G164,7&lt;=Species!$H164),"H",""))&amp;IF(Species!$I164=7,"S","")</f>
        <v>H</v>
      </c>
      <c r="J164" s="153" t="str">
        <f aca="false">IF(Species!$G164&lt;=Species!$H164,IF(AND(8&gt;=Species!$G164,8&lt;=Species!$H164),"H",""),IF(OR(8&gt;=Species!$G164,8&lt;=Species!$H164),"H",""))&amp;IF(Species!$I164=8,"S","")</f>
        <v>H</v>
      </c>
      <c r="K164" s="153" t="str">
        <f aca="false">IF(Species!$G164&lt;=Species!$H164,IF(AND(9&gt;=Species!$G164,9&lt;=Species!$H164),"H",""),IF(OR(9&gt;=Species!$G164,9&lt;=Species!$H164),"H",""))&amp;IF(Species!$I164=9,"S","")</f>
        <v>H</v>
      </c>
      <c r="L164" s="153" t="str">
        <f aca="false">IF(Species!$G164&lt;=Species!$H164,IF(AND(10&gt;=Species!$G164,10&lt;=Species!$H164),"H",""),IF(OR(10&gt;=Species!$G164,10&lt;=Species!$H164),"H",""))&amp;IF(Species!$I164=10,"S","")</f>
        <v>H</v>
      </c>
      <c r="M164" s="153" t="str">
        <f aca="false">IF(Species!$G164&lt;=Species!$H164,IF(AND(11&gt;=Species!$G164,11&lt;=Species!$H164),"H",""),IF(OR(11&gt;=Species!$G164,11&lt;=Species!$H164),"H",""))&amp;IF(Species!$I164=11,"S","")</f>
        <v>H</v>
      </c>
      <c r="N164" s="153" t="str">
        <f aca="false">IF(Species!$G164&lt;=Species!$H164,IF(AND(12&gt;=Species!$G164,12&lt;=Species!$H164),"H",""),IF(OR(12&gt;=Species!$G164,12&lt;=Species!$H164),"H",""))&amp;IF(Species!$I164=12,"S","")</f>
        <v>H</v>
      </c>
    </row>
    <row r="165" customFormat="false" ht="15" hidden="false" customHeight="false" outlineLevel="0" collapsed="false">
      <c r="A165" s="6" t="str">
        <f aca="false">Species!B165</f>
        <v>Varnished Reishi</v>
      </c>
      <c r="B165" s="6" t="str">
        <f aca="false">Species!F165</f>
        <v>Fruiting body</v>
      </c>
      <c r="C165" s="153" t="str">
        <f aca="false">IF(Species!$G165&lt;=Species!$H165,IF(AND(1&gt;=Species!$G165,1&lt;=Species!$H165),"H",""),IF(OR(1&gt;=Species!$G165,1&lt;=Species!$H165),"H",""))&amp;IF(Species!$I165=1,"S","")</f>
        <v/>
      </c>
      <c r="D165" s="153" t="str">
        <f aca="false">IF(Species!$G165&lt;=Species!$H165,IF(AND(2&gt;=Species!$G165,2&lt;=Species!$H165),"H",""),IF(OR(2&gt;=Species!$G165,2&lt;=Species!$H165),"H",""))&amp;IF(Species!$I165=2,"S","")</f>
        <v/>
      </c>
      <c r="E165" s="153" t="str">
        <f aca="false">IF(Species!$G165&lt;=Species!$H165,IF(AND(3&gt;=Species!$G165,3&lt;=Species!$H165),"H",""),IF(OR(3&gt;=Species!$G165,3&lt;=Species!$H165),"H",""))&amp;IF(Species!$I165=3,"S","")</f>
        <v/>
      </c>
      <c r="F165" s="153" t="str">
        <f aca="false">IF(Species!$G165&lt;=Species!$H165,IF(AND(4&gt;=Species!$G165,4&lt;=Species!$H165),"H",""),IF(OR(4&gt;=Species!$G165,4&lt;=Species!$H165),"H",""))&amp;IF(Species!$I165=4,"S","")</f>
        <v/>
      </c>
      <c r="G165" s="153" t="str">
        <f aca="false">IF(Species!$G165&lt;=Species!$H165,IF(AND(5&gt;=Species!$G165,5&lt;=Species!$H165),"H",""),IF(OR(5&gt;=Species!$G165,5&lt;=Species!$H165),"H",""))&amp;IF(Species!$I165=5,"S","")</f>
        <v/>
      </c>
      <c r="H165" s="153" t="str">
        <f aca="false">IF(Species!$G165&lt;=Species!$H165,IF(AND(6&gt;=Species!$G165,6&lt;=Species!$H165),"H",""),IF(OR(6&gt;=Species!$G165,6&lt;=Species!$H165),"H",""))&amp;IF(Species!$I165=6,"S","")</f>
        <v>H</v>
      </c>
      <c r="I165" s="153" t="str">
        <f aca="false">IF(Species!$G165&lt;=Species!$H165,IF(AND(7&gt;=Species!$G165,7&lt;=Species!$H165),"H",""),IF(OR(7&gt;=Species!$G165,7&lt;=Species!$H165),"H",""))&amp;IF(Species!$I165=7,"S","")</f>
        <v>H</v>
      </c>
      <c r="J165" s="153" t="str">
        <f aca="false">IF(Species!$G165&lt;=Species!$H165,IF(AND(8&gt;=Species!$G165,8&lt;=Species!$H165),"H",""),IF(OR(8&gt;=Species!$G165,8&lt;=Species!$H165),"H",""))&amp;IF(Species!$I165=8,"S","")</f>
        <v>H</v>
      </c>
      <c r="K165" s="153" t="str">
        <f aca="false">IF(Species!$G165&lt;=Species!$H165,IF(AND(9&gt;=Species!$G165,9&lt;=Species!$H165),"H",""),IF(OR(9&gt;=Species!$G165,9&lt;=Species!$H165),"H",""))&amp;IF(Species!$I165=9,"S","")</f>
        <v>H</v>
      </c>
      <c r="L165" s="153" t="str">
        <f aca="false">IF(Species!$G165&lt;=Species!$H165,IF(AND(10&gt;=Species!$G165,10&lt;=Species!$H165),"H",""),IF(OR(10&gt;=Species!$G165,10&lt;=Species!$H165),"H",""))&amp;IF(Species!$I165=10,"S","")</f>
        <v/>
      </c>
      <c r="M165" s="153" t="str">
        <f aca="false">IF(Species!$G165&lt;=Species!$H165,IF(AND(11&gt;=Species!$G165,11&lt;=Species!$H165),"H",""),IF(OR(11&gt;=Species!$G165,11&lt;=Species!$H165),"H",""))&amp;IF(Species!$I165=11,"S","")</f>
        <v/>
      </c>
      <c r="N165" s="153" t="str">
        <f aca="false">IF(Species!$G165&lt;=Species!$H165,IF(AND(12&gt;=Species!$G165,12&lt;=Species!$H165),"H",""),IF(OR(12&gt;=Species!$G165,12&lt;=Species!$H165),"H",""))&amp;IF(Species!$I165=12,"S","")</f>
        <v/>
      </c>
    </row>
    <row r="166" customFormat="false" ht="15" hidden="false" customHeight="false" outlineLevel="0" collapsed="false">
      <c r="A166" s="6" t="str">
        <f aca="false">Species!B166</f>
        <v>Yellow Morel</v>
      </c>
      <c r="B166" s="6" t="str">
        <f aca="false">Species!F166</f>
        <v>Fruiting body</v>
      </c>
      <c r="C166" s="153" t="str">
        <f aca="false">IF(Species!$G166&lt;=Species!$H166,IF(AND(1&gt;=Species!$G166,1&lt;=Species!$H166),"H",""),IF(OR(1&gt;=Species!$G166,1&lt;=Species!$H166),"H",""))&amp;IF(Species!$I166=1,"S","")</f>
        <v/>
      </c>
      <c r="D166" s="153" t="str">
        <f aca="false">IF(Species!$G166&lt;=Species!$H166,IF(AND(2&gt;=Species!$G166,2&lt;=Species!$H166),"H",""),IF(OR(2&gt;=Species!$G166,2&lt;=Species!$H166),"H",""))&amp;IF(Species!$I166=2,"S","")</f>
        <v/>
      </c>
      <c r="E166" s="153" t="str">
        <f aca="false">IF(Species!$G166&lt;=Species!$H166,IF(AND(3&gt;=Species!$G166,3&lt;=Species!$H166),"H",""),IF(OR(3&gt;=Species!$G166,3&lt;=Species!$H166),"H",""))&amp;IF(Species!$I166=3,"S","")</f>
        <v/>
      </c>
      <c r="F166" s="153" t="str">
        <f aca="false">IF(Species!$G166&lt;=Species!$H166,IF(AND(4&gt;=Species!$G166,4&lt;=Species!$H166),"H",""),IF(OR(4&gt;=Species!$G166,4&lt;=Species!$H166),"H",""))&amp;IF(Species!$I166=4,"S","")</f>
        <v>H</v>
      </c>
      <c r="G166" s="153" t="str">
        <f aca="false">IF(Species!$G166&lt;=Species!$H166,IF(AND(5&gt;=Species!$G166,5&lt;=Species!$H166),"H",""),IF(OR(5&gt;=Species!$G166,5&lt;=Species!$H166),"H",""))&amp;IF(Species!$I166=5,"S","")</f>
        <v>H</v>
      </c>
      <c r="H166" s="153" t="str">
        <f aca="false">IF(Species!$G166&lt;=Species!$H166,IF(AND(6&gt;=Species!$G166,6&lt;=Species!$H166),"H",""),IF(OR(6&gt;=Species!$G166,6&lt;=Species!$H166),"H",""))&amp;IF(Species!$I166=6,"S","")</f>
        <v/>
      </c>
      <c r="I166" s="153" t="str">
        <f aca="false">IF(Species!$G166&lt;=Species!$H166,IF(AND(7&gt;=Species!$G166,7&lt;=Species!$H166),"H",""),IF(OR(7&gt;=Species!$G166,7&lt;=Species!$H166),"H",""))&amp;IF(Species!$I166=7,"S","")</f>
        <v/>
      </c>
      <c r="J166" s="153" t="str">
        <f aca="false">IF(Species!$G166&lt;=Species!$H166,IF(AND(8&gt;=Species!$G166,8&lt;=Species!$H166),"H",""),IF(OR(8&gt;=Species!$G166,8&lt;=Species!$H166),"H",""))&amp;IF(Species!$I166=8,"S","")</f>
        <v/>
      </c>
      <c r="K166" s="153" t="str">
        <f aca="false">IF(Species!$G166&lt;=Species!$H166,IF(AND(9&gt;=Species!$G166,9&lt;=Species!$H166),"H",""),IF(OR(9&gt;=Species!$G166,9&lt;=Species!$H166),"H",""))&amp;IF(Species!$I166=9,"S","")</f>
        <v/>
      </c>
      <c r="L166" s="153" t="str">
        <f aca="false">IF(Species!$G166&lt;=Species!$H166,IF(AND(10&gt;=Species!$G166,10&lt;=Species!$H166),"H",""),IF(OR(10&gt;=Species!$G166,10&lt;=Species!$H166),"H",""))&amp;IF(Species!$I166=10,"S","")</f>
        <v/>
      </c>
      <c r="M166" s="153" t="str">
        <f aca="false">IF(Species!$G166&lt;=Species!$H166,IF(AND(11&gt;=Species!$G166,11&lt;=Species!$H166),"H",""),IF(OR(11&gt;=Species!$G166,11&lt;=Species!$H166),"H",""))&amp;IF(Species!$I166=11,"S","")</f>
        <v/>
      </c>
      <c r="N166" s="153" t="str">
        <f aca="false">IF(Species!$G166&lt;=Species!$H166,IF(AND(12&gt;=Species!$G166,12&lt;=Species!$H166),"H",""),IF(OR(12&gt;=Species!$G166,12&lt;=Species!$H166),"H",""))&amp;IF(Species!$I166=12,"S","")</f>
        <v/>
      </c>
    </row>
    <row r="167" customFormat="false" ht="15" hidden="false" customHeight="false" outlineLevel="0" collapsed="false">
      <c r="A167" s="6" t="str">
        <f aca="false">Species!B167</f>
        <v>Golden Chanterelle</v>
      </c>
      <c r="B167" s="6" t="str">
        <f aca="false">Species!F167</f>
        <v>Fruiting body</v>
      </c>
      <c r="C167" s="153" t="str">
        <f aca="false">IF(Species!$G167&lt;=Species!$H167,IF(AND(1&gt;=Species!$G167,1&lt;=Species!$H167),"H",""),IF(OR(1&gt;=Species!$G167,1&lt;=Species!$H167),"H",""))&amp;IF(Species!$I167=1,"S","")</f>
        <v/>
      </c>
      <c r="D167" s="153" t="str">
        <f aca="false">IF(Species!$G167&lt;=Species!$H167,IF(AND(2&gt;=Species!$G167,2&lt;=Species!$H167),"H",""),IF(OR(2&gt;=Species!$G167,2&lt;=Species!$H167),"H",""))&amp;IF(Species!$I167=2,"S","")</f>
        <v/>
      </c>
      <c r="E167" s="153" t="str">
        <f aca="false">IF(Species!$G167&lt;=Species!$H167,IF(AND(3&gt;=Species!$G167,3&lt;=Species!$H167),"H",""),IF(OR(3&gt;=Species!$G167,3&lt;=Species!$H167),"H",""))&amp;IF(Species!$I167=3,"S","")</f>
        <v/>
      </c>
      <c r="F167" s="153" t="str">
        <f aca="false">IF(Species!$G167&lt;=Species!$H167,IF(AND(4&gt;=Species!$G167,4&lt;=Species!$H167),"H",""),IF(OR(4&gt;=Species!$G167,4&lt;=Species!$H167),"H",""))&amp;IF(Species!$I167=4,"S","")</f>
        <v/>
      </c>
      <c r="G167" s="153" t="str">
        <f aca="false">IF(Species!$G167&lt;=Species!$H167,IF(AND(5&gt;=Species!$G167,5&lt;=Species!$H167),"H",""),IF(OR(5&gt;=Species!$G167,5&lt;=Species!$H167),"H",""))&amp;IF(Species!$I167=5,"S","")</f>
        <v/>
      </c>
      <c r="H167" s="153" t="str">
        <f aca="false">IF(Species!$G167&lt;=Species!$H167,IF(AND(6&gt;=Species!$G167,6&lt;=Species!$H167),"H",""),IF(OR(6&gt;=Species!$G167,6&lt;=Species!$H167),"H",""))&amp;IF(Species!$I167=6,"S","")</f>
        <v>H</v>
      </c>
      <c r="I167" s="153" t="str">
        <f aca="false">IF(Species!$G167&lt;=Species!$H167,IF(AND(7&gt;=Species!$G167,7&lt;=Species!$H167),"H",""),IF(OR(7&gt;=Species!$G167,7&lt;=Species!$H167),"H",""))&amp;IF(Species!$I167=7,"S","")</f>
        <v>H</v>
      </c>
      <c r="J167" s="153" t="str">
        <f aca="false">IF(Species!$G167&lt;=Species!$H167,IF(AND(8&gt;=Species!$G167,8&lt;=Species!$H167),"H",""),IF(OR(8&gt;=Species!$G167,8&lt;=Species!$H167),"H",""))&amp;IF(Species!$I167=8,"S","")</f>
        <v>H</v>
      </c>
      <c r="K167" s="153" t="str">
        <f aca="false">IF(Species!$G167&lt;=Species!$H167,IF(AND(9&gt;=Species!$G167,9&lt;=Species!$H167),"H",""),IF(OR(9&gt;=Species!$G167,9&lt;=Species!$H167),"H",""))&amp;IF(Species!$I167=9,"S","")</f>
        <v>H</v>
      </c>
      <c r="L167" s="153" t="str">
        <f aca="false">IF(Species!$G167&lt;=Species!$H167,IF(AND(10&gt;=Species!$G167,10&lt;=Species!$H167),"H",""),IF(OR(10&gt;=Species!$G167,10&lt;=Species!$H167),"H",""))&amp;IF(Species!$I167=10,"S","")</f>
        <v/>
      </c>
      <c r="M167" s="153" t="str">
        <f aca="false">IF(Species!$G167&lt;=Species!$H167,IF(AND(11&gt;=Species!$G167,11&lt;=Species!$H167),"H",""),IF(OR(11&gt;=Species!$G167,11&lt;=Species!$H167),"H",""))&amp;IF(Species!$I167=11,"S","")</f>
        <v/>
      </c>
      <c r="N167" s="153" t="str">
        <f aca="false">IF(Species!$G167&lt;=Species!$H167,IF(AND(12&gt;=Species!$G167,12&lt;=Species!$H167),"H",""),IF(OR(12&gt;=Species!$G167,12&lt;=Species!$H167),"H",""))&amp;IF(Species!$I167=12,"S","")</f>
        <v/>
      </c>
    </row>
    <row r="168" customFormat="false" ht="15" hidden="false" customHeight="false" outlineLevel="0" collapsed="false">
      <c r="A168" s="6" t="str">
        <f aca="false">Species!B168</f>
        <v>Giant Puffball</v>
      </c>
      <c r="B168" s="6" t="str">
        <f aca="false">Species!F168</f>
        <v>Fruiting body</v>
      </c>
      <c r="C168" s="153" t="str">
        <f aca="false">IF(Species!$G168&lt;=Species!$H168,IF(AND(1&gt;=Species!$G168,1&lt;=Species!$H168),"H",""),IF(OR(1&gt;=Species!$G168,1&lt;=Species!$H168),"H",""))&amp;IF(Species!$I168=1,"S","")</f>
        <v/>
      </c>
      <c r="D168" s="153" t="str">
        <f aca="false">IF(Species!$G168&lt;=Species!$H168,IF(AND(2&gt;=Species!$G168,2&lt;=Species!$H168),"H",""),IF(OR(2&gt;=Species!$G168,2&lt;=Species!$H168),"H",""))&amp;IF(Species!$I168=2,"S","")</f>
        <v/>
      </c>
      <c r="E168" s="153" t="str">
        <f aca="false">IF(Species!$G168&lt;=Species!$H168,IF(AND(3&gt;=Species!$G168,3&lt;=Species!$H168),"H",""),IF(OR(3&gt;=Species!$G168,3&lt;=Species!$H168),"H",""))&amp;IF(Species!$I168=3,"S","")</f>
        <v/>
      </c>
      <c r="F168" s="153" t="str">
        <f aca="false">IF(Species!$G168&lt;=Species!$H168,IF(AND(4&gt;=Species!$G168,4&lt;=Species!$H168),"H",""),IF(OR(4&gt;=Species!$G168,4&lt;=Species!$H168),"H",""))&amp;IF(Species!$I168=4,"S","")</f>
        <v/>
      </c>
      <c r="G168" s="153" t="str">
        <f aca="false">IF(Species!$G168&lt;=Species!$H168,IF(AND(5&gt;=Species!$G168,5&lt;=Species!$H168),"H",""),IF(OR(5&gt;=Species!$G168,5&lt;=Species!$H168),"H",""))&amp;IF(Species!$I168=5,"S","")</f>
        <v/>
      </c>
      <c r="H168" s="153" t="str">
        <f aca="false">IF(Species!$G168&lt;=Species!$H168,IF(AND(6&gt;=Species!$G168,6&lt;=Species!$H168),"H",""),IF(OR(6&gt;=Species!$G168,6&lt;=Species!$H168),"H",""))&amp;IF(Species!$I168=6,"S","")</f>
        <v/>
      </c>
      <c r="I168" s="153" t="str">
        <f aca="false">IF(Species!$G168&lt;=Species!$H168,IF(AND(7&gt;=Species!$G168,7&lt;=Species!$H168),"H",""),IF(OR(7&gt;=Species!$G168,7&lt;=Species!$H168),"H",""))&amp;IF(Species!$I168=7,"S","")</f>
        <v/>
      </c>
      <c r="J168" s="153" t="str">
        <f aca="false">IF(Species!$G168&lt;=Species!$H168,IF(AND(8&gt;=Species!$G168,8&lt;=Species!$H168),"H",""),IF(OR(8&gt;=Species!$G168,8&lt;=Species!$H168),"H",""))&amp;IF(Species!$I168=8,"S","")</f>
        <v>H</v>
      </c>
      <c r="K168" s="153" t="str">
        <f aca="false">IF(Species!$G168&lt;=Species!$H168,IF(AND(9&gt;=Species!$G168,9&lt;=Species!$H168),"H",""),IF(OR(9&gt;=Species!$G168,9&lt;=Species!$H168),"H",""))&amp;IF(Species!$I168=9,"S","")</f>
        <v>H</v>
      </c>
      <c r="L168" s="153" t="str">
        <f aca="false">IF(Species!$G168&lt;=Species!$H168,IF(AND(10&gt;=Species!$G168,10&lt;=Species!$H168),"H",""),IF(OR(10&gt;=Species!$G168,10&lt;=Species!$H168),"H",""))&amp;IF(Species!$I168=10,"S","")</f>
        <v>H</v>
      </c>
      <c r="M168" s="153" t="str">
        <f aca="false">IF(Species!$G168&lt;=Species!$H168,IF(AND(11&gt;=Species!$G168,11&lt;=Species!$H168),"H",""),IF(OR(11&gt;=Species!$G168,11&lt;=Species!$H168),"H",""))&amp;IF(Species!$I168=11,"S","")</f>
        <v/>
      </c>
      <c r="N168" s="153" t="str">
        <f aca="false">IF(Species!$G168&lt;=Species!$H168,IF(AND(12&gt;=Species!$G168,12&lt;=Species!$H168),"H",""),IF(OR(12&gt;=Species!$G168,12&lt;=Species!$H168),"H",""))&amp;IF(Species!$I168=12,"S","")</f>
        <v/>
      </c>
    </row>
    <row r="169" customFormat="false" ht="15" hidden="false" customHeight="false" outlineLevel="0" collapsed="false">
      <c r="A169" s="6" t="str">
        <f aca="false">Species!B169</f>
        <v>Jack-o'-lantern</v>
      </c>
      <c r="B169" s="6" t="str">
        <f aca="false">Species!F169</f>
        <v>Fruiting body</v>
      </c>
      <c r="C169" s="153" t="str">
        <f aca="false">IF(Species!$G169&lt;=Species!$H169,IF(AND(1&gt;=Species!$G169,1&lt;=Species!$H169),"H",""),IF(OR(1&gt;=Species!$G169,1&lt;=Species!$H169),"H",""))&amp;IF(Species!$I169=1,"S","")</f>
        <v/>
      </c>
      <c r="D169" s="153" t="str">
        <f aca="false">IF(Species!$G169&lt;=Species!$H169,IF(AND(2&gt;=Species!$G169,2&lt;=Species!$H169),"H",""),IF(OR(2&gt;=Species!$G169,2&lt;=Species!$H169),"H",""))&amp;IF(Species!$I169=2,"S","")</f>
        <v/>
      </c>
      <c r="E169" s="153" t="str">
        <f aca="false">IF(Species!$G169&lt;=Species!$H169,IF(AND(3&gt;=Species!$G169,3&lt;=Species!$H169),"H",""),IF(OR(3&gt;=Species!$G169,3&lt;=Species!$H169),"H",""))&amp;IF(Species!$I169=3,"S","")</f>
        <v/>
      </c>
      <c r="F169" s="153" t="str">
        <f aca="false">IF(Species!$G169&lt;=Species!$H169,IF(AND(4&gt;=Species!$G169,4&lt;=Species!$H169),"H",""),IF(OR(4&gt;=Species!$G169,4&lt;=Species!$H169),"H",""))&amp;IF(Species!$I169=4,"S","")</f>
        <v/>
      </c>
      <c r="G169" s="153" t="str">
        <f aca="false">IF(Species!$G169&lt;=Species!$H169,IF(AND(5&gt;=Species!$G169,5&lt;=Species!$H169),"H",""),IF(OR(5&gt;=Species!$G169,5&lt;=Species!$H169),"H",""))&amp;IF(Species!$I169=5,"S","")</f>
        <v/>
      </c>
      <c r="H169" s="153" t="str">
        <f aca="false">IF(Species!$G169&lt;=Species!$H169,IF(AND(6&gt;=Species!$G169,6&lt;=Species!$H169),"H",""),IF(OR(6&gt;=Species!$G169,6&lt;=Species!$H169),"H",""))&amp;IF(Species!$I169=6,"S","")</f>
        <v/>
      </c>
      <c r="I169" s="153" t="str">
        <f aca="false">IF(Species!$G169&lt;=Species!$H169,IF(AND(7&gt;=Species!$G169,7&lt;=Species!$H169),"H",""),IF(OR(7&gt;=Species!$G169,7&lt;=Species!$H169),"H",""))&amp;IF(Species!$I169=7,"S","")</f>
        <v/>
      </c>
      <c r="J169" s="153" t="str">
        <f aca="false">IF(Species!$G169&lt;=Species!$H169,IF(AND(8&gt;=Species!$G169,8&lt;=Species!$H169),"H",""),IF(OR(8&gt;=Species!$G169,8&lt;=Species!$H169),"H",""))&amp;IF(Species!$I169=8,"S","")</f>
        <v>H</v>
      </c>
      <c r="K169" s="153" t="str">
        <f aca="false">IF(Species!$G169&lt;=Species!$H169,IF(AND(9&gt;=Species!$G169,9&lt;=Species!$H169),"H",""),IF(OR(9&gt;=Species!$G169,9&lt;=Species!$H169),"H",""))&amp;IF(Species!$I169=9,"S","")</f>
        <v>H</v>
      </c>
      <c r="L169" s="153" t="str">
        <f aca="false">IF(Species!$G169&lt;=Species!$H169,IF(AND(10&gt;=Species!$G169,10&lt;=Species!$H169),"H",""),IF(OR(10&gt;=Species!$G169,10&lt;=Species!$H169),"H",""))&amp;IF(Species!$I169=10,"S","")</f>
        <v>H</v>
      </c>
      <c r="M169" s="153" t="str">
        <f aca="false">IF(Species!$G169&lt;=Species!$H169,IF(AND(11&gt;=Species!$G169,11&lt;=Species!$H169),"H",""),IF(OR(11&gt;=Species!$G169,11&lt;=Species!$H169),"H",""))&amp;IF(Species!$I169=11,"S","")</f>
        <v/>
      </c>
      <c r="N169" s="153" t="str">
        <f aca="false">IF(Species!$G169&lt;=Species!$H169,IF(AND(12&gt;=Species!$G169,12&lt;=Species!$H169),"H",""),IF(OR(12&gt;=Species!$G169,12&lt;=Species!$H169),"H",""))&amp;IF(Species!$I169=12,"S","")</f>
        <v/>
      </c>
    </row>
    <row r="170" customFormat="false" ht="15" hidden="false" customHeight="false" outlineLevel="0" collapsed="false">
      <c r="A170" s="6" t="str">
        <f aca="false">Species!B170</f>
        <v>Destroying Angel</v>
      </c>
      <c r="B170" s="6" t="str">
        <f aca="false">Species!F170</f>
        <v>Fruiting body</v>
      </c>
      <c r="C170" s="153" t="str">
        <f aca="false">IF(Species!$G170&lt;=Species!$H170,IF(AND(1&gt;=Species!$G170,1&lt;=Species!$H170),"H",""),IF(OR(1&gt;=Species!$G170,1&lt;=Species!$H170),"H",""))&amp;IF(Species!$I170=1,"S","")</f>
        <v/>
      </c>
      <c r="D170" s="153" t="str">
        <f aca="false">IF(Species!$G170&lt;=Species!$H170,IF(AND(2&gt;=Species!$G170,2&lt;=Species!$H170),"H",""),IF(OR(2&gt;=Species!$G170,2&lt;=Species!$H170),"H",""))&amp;IF(Species!$I170=2,"S","")</f>
        <v/>
      </c>
      <c r="E170" s="153" t="str">
        <f aca="false">IF(Species!$G170&lt;=Species!$H170,IF(AND(3&gt;=Species!$G170,3&lt;=Species!$H170),"H",""),IF(OR(3&gt;=Species!$G170,3&lt;=Species!$H170),"H",""))&amp;IF(Species!$I170=3,"S","")</f>
        <v/>
      </c>
      <c r="F170" s="153" t="str">
        <f aca="false">IF(Species!$G170&lt;=Species!$H170,IF(AND(4&gt;=Species!$G170,4&lt;=Species!$H170),"H",""),IF(OR(4&gt;=Species!$G170,4&lt;=Species!$H170),"H",""))&amp;IF(Species!$I170=4,"S","")</f>
        <v/>
      </c>
      <c r="G170" s="153" t="str">
        <f aca="false">IF(Species!$G170&lt;=Species!$H170,IF(AND(5&gt;=Species!$G170,5&lt;=Species!$H170),"H",""),IF(OR(5&gt;=Species!$G170,5&lt;=Species!$H170),"H",""))&amp;IF(Species!$I170=5,"S","")</f>
        <v/>
      </c>
      <c r="H170" s="153" t="str">
        <f aca="false">IF(Species!$G170&lt;=Species!$H170,IF(AND(6&gt;=Species!$G170,6&lt;=Species!$H170),"H",""),IF(OR(6&gt;=Species!$G170,6&lt;=Species!$H170),"H",""))&amp;IF(Species!$I170=6,"S","")</f>
        <v/>
      </c>
      <c r="I170" s="153" t="str">
        <f aca="false">IF(Species!$G170&lt;=Species!$H170,IF(AND(7&gt;=Species!$G170,7&lt;=Species!$H170),"H",""),IF(OR(7&gt;=Species!$G170,7&lt;=Species!$H170),"H",""))&amp;IF(Species!$I170=7,"S","")</f>
        <v>H</v>
      </c>
      <c r="J170" s="153" t="str">
        <f aca="false">IF(Species!$G170&lt;=Species!$H170,IF(AND(8&gt;=Species!$G170,8&lt;=Species!$H170),"H",""),IF(OR(8&gt;=Species!$G170,8&lt;=Species!$H170),"H",""))&amp;IF(Species!$I170=8,"S","")</f>
        <v>H</v>
      </c>
      <c r="K170" s="153" t="str">
        <f aca="false">IF(Species!$G170&lt;=Species!$H170,IF(AND(9&gt;=Species!$G170,9&lt;=Species!$H170),"H",""),IF(OR(9&gt;=Species!$G170,9&lt;=Species!$H170),"H",""))&amp;IF(Species!$I170=9,"S","")</f>
        <v>H</v>
      </c>
      <c r="L170" s="153" t="str">
        <f aca="false">IF(Species!$G170&lt;=Species!$H170,IF(AND(10&gt;=Species!$G170,10&lt;=Species!$H170),"H",""),IF(OR(10&gt;=Species!$G170,10&lt;=Species!$H170),"H",""))&amp;IF(Species!$I170=10,"S","")</f>
        <v/>
      </c>
      <c r="M170" s="153" t="str">
        <f aca="false">IF(Species!$G170&lt;=Species!$H170,IF(AND(11&gt;=Species!$G170,11&lt;=Species!$H170),"H",""),IF(OR(11&gt;=Species!$G170,11&lt;=Species!$H170),"H",""))&amp;IF(Species!$I170=11,"S","")</f>
        <v/>
      </c>
      <c r="N170" s="153" t="str">
        <f aca="false">IF(Species!$G170&lt;=Species!$H170,IF(AND(12&gt;=Species!$G170,12&lt;=Species!$H170),"H",""),IF(OR(12&gt;=Species!$G170,12&lt;=Species!$H170),"H",""))&amp;IF(Species!$I170=12,"S","")</f>
        <v/>
      </c>
    </row>
    <row r="171" customFormat="false" ht="15" hidden="false" customHeight="false" outlineLevel="0" collapsed="false">
      <c r="A171" s="6" t="str">
        <f aca="false">Species!B171</f>
        <v>Lanternmoss</v>
      </c>
      <c r="B171" s="6" t="str">
        <f aca="false">Species!F171</f>
        <v>Whole</v>
      </c>
      <c r="C171" s="153" t="str">
        <f aca="false">IF(Species!$G171&lt;=Species!$H171,IF(AND(1&gt;=Species!$G171,1&lt;=Species!$H171),"H",""),IF(OR(1&gt;=Species!$G171,1&lt;=Species!$H171),"H",""))&amp;IF(Species!$I171=1,"S","")</f>
        <v>H</v>
      </c>
      <c r="D171" s="153" t="str">
        <f aca="false">IF(Species!$G171&lt;=Species!$H171,IF(AND(2&gt;=Species!$G171,2&lt;=Species!$H171),"H",""),IF(OR(2&gt;=Species!$G171,2&lt;=Species!$H171),"H",""))&amp;IF(Species!$I171=2,"S","")</f>
        <v>H</v>
      </c>
      <c r="E171" s="153" t="str">
        <f aca="false">IF(Species!$G171&lt;=Species!$H171,IF(AND(3&gt;=Species!$G171,3&lt;=Species!$H171),"H",""),IF(OR(3&gt;=Species!$G171,3&lt;=Species!$H171),"H",""))&amp;IF(Species!$I171=3,"S","")</f>
        <v>H</v>
      </c>
      <c r="F171" s="153" t="str">
        <f aca="false">IF(Species!$G171&lt;=Species!$H171,IF(AND(4&gt;=Species!$G171,4&lt;=Species!$H171),"H",""),IF(OR(4&gt;=Species!$G171,4&lt;=Species!$H171),"H",""))&amp;IF(Species!$I171=4,"S","")</f>
        <v>H</v>
      </c>
      <c r="G171" s="153" t="str">
        <f aca="false">IF(Species!$G171&lt;=Species!$H171,IF(AND(5&gt;=Species!$G171,5&lt;=Species!$H171),"H",""),IF(OR(5&gt;=Species!$G171,5&lt;=Species!$H171),"H",""))&amp;IF(Species!$I171=5,"S","")</f>
        <v>H</v>
      </c>
      <c r="H171" s="153" t="str">
        <f aca="false">IF(Species!$G171&lt;=Species!$H171,IF(AND(6&gt;=Species!$G171,6&lt;=Species!$H171),"H",""),IF(OR(6&gt;=Species!$G171,6&lt;=Species!$H171),"H",""))&amp;IF(Species!$I171=6,"S","")</f>
        <v>H</v>
      </c>
      <c r="I171" s="153" t="str">
        <f aca="false">IF(Species!$G171&lt;=Species!$H171,IF(AND(7&gt;=Species!$G171,7&lt;=Species!$H171),"H",""),IF(OR(7&gt;=Species!$G171,7&lt;=Species!$H171),"H",""))&amp;IF(Species!$I171=7,"S","")</f>
        <v>H</v>
      </c>
      <c r="J171" s="153" t="str">
        <f aca="false">IF(Species!$G171&lt;=Species!$H171,IF(AND(8&gt;=Species!$G171,8&lt;=Species!$H171),"H",""),IF(OR(8&gt;=Species!$G171,8&lt;=Species!$H171),"H",""))&amp;IF(Species!$I171=8,"S","")</f>
        <v>H</v>
      </c>
      <c r="K171" s="153" t="str">
        <f aca="false">IF(Species!$G171&lt;=Species!$H171,IF(AND(9&gt;=Species!$G171,9&lt;=Species!$H171),"H",""),IF(OR(9&gt;=Species!$G171,9&lt;=Species!$H171),"H",""))&amp;IF(Species!$I171=9,"S","")</f>
        <v>H</v>
      </c>
      <c r="L171" s="153" t="str">
        <f aca="false">IF(Species!$G171&lt;=Species!$H171,IF(AND(10&gt;=Species!$G171,10&lt;=Species!$H171),"H",""),IF(OR(10&gt;=Species!$G171,10&lt;=Species!$H171),"H",""))&amp;IF(Species!$I171=10,"S","")</f>
        <v>H</v>
      </c>
      <c r="M171" s="153" t="str">
        <f aca="false">IF(Species!$G171&lt;=Species!$H171,IF(AND(11&gt;=Species!$G171,11&lt;=Species!$H171),"H",""),IF(OR(11&gt;=Species!$G171,11&lt;=Species!$H171),"H",""))&amp;IF(Species!$I171=11,"S","")</f>
        <v>H</v>
      </c>
      <c r="N171" s="153" t="str">
        <f aca="false">IF(Species!$G171&lt;=Species!$H171,IF(AND(12&gt;=Species!$G171,12&lt;=Species!$H171),"H",""),IF(OR(12&gt;=Species!$G171,12&lt;=Species!$H171),"H",""))&amp;IF(Species!$I171=12,"S","")</f>
        <v>H</v>
      </c>
    </row>
    <row r="172" customFormat="false" ht="15" hidden="false" customHeight="false" outlineLevel="0" collapsed="false">
      <c r="A172" s="6" t="str">
        <f aca="false">Species!B172</f>
        <v>Weeping Rhizine</v>
      </c>
      <c r="B172" s="6" t="str">
        <f aca="false">Species!F172</f>
        <v>Exudate</v>
      </c>
      <c r="C172" s="153" t="str">
        <f aca="false">IF(Species!$G172&lt;=Species!$H172,IF(AND(1&gt;=Species!$G172,1&lt;=Species!$H172),"H",""),IF(OR(1&gt;=Species!$G172,1&lt;=Species!$H172),"H",""))&amp;IF(Species!$I172=1,"S","")</f>
        <v/>
      </c>
      <c r="D172" s="153" t="str">
        <f aca="false">IF(Species!$G172&lt;=Species!$H172,IF(AND(2&gt;=Species!$G172,2&lt;=Species!$H172),"H",""),IF(OR(2&gt;=Species!$G172,2&lt;=Species!$H172),"H",""))&amp;IF(Species!$I172=2,"S","")</f>
        <v/>
      </c>
      <c r="E172" s="153" t="str">
        <f aca="false">IF(Species!$G172&lt;=Species!$H172,IF(AND(3&gt;=Species!$G172,3&lt;=Species!$H172),"H",""),IF(OR(3&gt;=Species!$G172,3&lt;=Species!$H172),"H",""))&amp;IF(Species!$I172=3,"S","")</f>
        <v/>
      </c>
      <c r="F172" s="153" t="str">
        <f aca="false">IF(Species!$G172&lt;=Species!$H172,IF(AND(4&gt;=Species!$G172,4&lt;=Species!$H172),"H",""),IF(OR(4&gt;=Species!$G172,4&lt;=Species!$H172),"H",""))&amp;IF(Species!$I172=4,"S","")</f>
        <v/>
      </c>
      <c r="G172" s="153" t="str">
        <f aca="false">IF(Species!$G172&lt;=Species!$H172,IF(AND(5&gt;=Species!$G172,5&lt;=Species!$H172),"H",""),IF(OR(5&gt;=Species!$G172,5&lt;=Species!$H172),"H",""))&amp;IF(Species!$I172=5,"S","")</f>
        <v/>
      </c>
      <c r="H172" s="153" t="str">
        <f aca="false">IF(Species!$G172&lt;=Species!$H172,IF(AND(6&gt;=Species!$G172,6&lt;=Species!$H172),"H",""),IF(OR(6&gt;=Species!$G172,6&lt;=Species!$H172),"H",""))&amp;IF(Species!$I172=6,"S","")</f>
        <v/>
      </c>
      <c r="I172" s="153" t="str">
        <f aca="false">IF(Species!$G172&lt;=Species!$H172,IF(AND(7&gt;=Species!$G172,7&lt;=Species!$H172),"H",""),IF(OR(7&gt;=Species!$G172,7&lt;=Species!$H172),"H",""))&amp;IF(Species!$I172=7,"S","")</f>
        <v/>
      </c>
      <c r="J172" s="153" t="str">
        <f aca="false">IF(Species!$G172&lt;=Species!$H172,IF(AND(8&gt;=Species!$G172,8&lt;=Species!$H172),"H",""),IF(OR(8&gt;=Species!$G172,8&lt;=Species!$H172),"H",""))&amp;IF(Species!$I172=8,"S","")</f>
        <v/>
      </c>
      <c r="K172" s="153" t="str">
        <f aca="false">IF(Species!$G172&lt;=Species!$H172,IF(AND(9&gt;=Species!$G172,9&lt;=Species!$H172),"H",""),IF(OR(9&gt;=Species!$G172,9&lt;=Species!$H172),"H",""))&amp;IF(Species!$I172=9,"S","")</f>
        <v/>
      </c>
      <c r="L172" s="153" t="str">
        <f aca="false">IF(Species!$G172&lt;=Species!$H172,IF(AND(10&gt;=Species!$G172,10&lt;=Species!$H172),"H",""),IF(OR(10&gt;=Species!$G172,10&lt;=Species!$H172),"H",""))&amp;IF(Species!$I172=10,"S","")</f>
        <v>H</v>
      </c>
      <c r="M172" s="153" t="str">
        <f aca="false">IF(Species!$G172&lt;=Species!$H172,IF(AND(11&gt;=Species!$G172,11&lt;=Species!$H172),"H",""),IF(OR(11&gt;=Species!$G172,11&lt;=Species!$H172),"H",""))&amp;IF(Species!$I172=11,"S","")</f>
        <v>H</v>
      </c>
      <c r="N172" s="153" t="str">
        <f aca="false">IF(Species!$G172&lt;=Species!$H172,IF(AND(12&gt;=Species!$G172,12&lt;=Species!$H172),"H",""),IF(OR(12&gt;=Species!$G172,12&lt;=Species!$H172),"H",""))&amp;IF(Species!$I172=12,"S","")</f>
        <v/>
      </c>
    </row>
    <row r="173" customFormat="false" ht="15" hidden="false" customHeight="false" outlineLevel="0" collapsed="false">
      <c r="A173" s="6" t="str">
        <f aca="false">Species!B173</f>
        <v>Hollowbell</v>
      </c>
      <c r="B173" s="6" t="str">
        <f aca="false">Species!F173</f>
        <v>Flower</v>
      </c>
      <c r="C173" s="153" t="str">
        <f aca="false">IF(Species!$G173&lt;=Species!$H173,IF(AND(1&gt;=Species!$G173,1&lt;=Species!$H173),"H",""),IF(OR(1&gt;=Species!$G173,1&lt;=Species!$H173),"H",""))&amp;IF(Species!$I173=1,"S","")</f>
        <v/>
      </c>
      <c r="D173" s="153" t="str">
        <f aca="false">IF(Species!$G173&lt;=Species!$H173,IF(AND(2&gt;=Species!$G173,2&lt;=Species!$H173),"H",""),IF(OR(2&gt;=Species!$G173,2&lt;=Species!$H173),"H",""))&amp;IF(Species!$I173=2,"S","")</f>
        <v/>
      </c>
      <c r="E173" s="153" t="str">
        <f aca="false">IF(Species!$G173&lt;=Species!$H173,IF(AND(3&gt;=Species!$G173,3&lt;=Species!$H173),"H",""),IF(OR(3&gt;=Species!$G173,3&lt;=Species!$H173),"H",""))&amp;IF(Species!$I173=3,"S","")</f>
        <v/>
      </c>
      <c r="F173" s="153" t="str">
        <f aca="false">IF(Species!$G173&lt;=Species!$H173,IF(AND(4&gt;=Species!$G173,4&lt;=Species!$H173),"H",""),IF(OR(4&gt;=Species!$G173,4&lt;=Species!$H173),"H",""))&amp;IF(Species!$I173=4,"S","")</f>
        <v/>
      </c>
      <c r="G173" s="153" t="str">
        <f aca="false">IF(Species!$G173&lt;=Species!$H173,IF(AND(5&gt;=Species!$G173,5&lt;=Species!$H173),"H",""),IF(OR(5&gt;=Species!$G173,5&lt;=Species!$H173),"H",""))&amp;IF(Species!$I173=5,"S","")</f>
        <v>H</v>
      </c>
      <c r="H173" s="153" t="str">
        <f aca="false">IF(Species!$G173&lt;=Species!$H173,IF(AND(6&gt;=Species!$G173,6&lt;=Species!$H173),"H",""),IF(OR(6&gt;=Species!$G173,6&lt;=Species!$H173),"H",""))&amp;IF(Species!$I173=6,"S","")</f>
        <v>HS</v>
      </c>
      <c r="I173" s="153" t="str">
        <f aca="false">IF(Species!$G173&lt;=Species!$H173,IF(AND(7&gt;=Species!$G173,7&lt;=Species!$H173),"H",""),IF(OR(7&gt;=Species!$G173,7&lt;=Species!$H173),"H",""))&amp;IF(Species!$I173=7,"S","")</f>
        <v/>
      </c>
      <c r="J173" s="153" t="str">
        <f aca="false">IF(Species!$G173&lt;=Species!$H173,IF(AND(8&gt;=Species!$G173,8&lt;=Species!$H173),"H",""),IF(OR(8&gt;=Species!$G173,8&lt;=Species!$H173),"H",""))&amp;IF(Species!$I173=8,"S","")</f>
        <v/>
      </c>
      <c r="K173" s="153" t="str">
        <f aca="false">IF(Species!$G173&lt;=Species!$H173,IF(AND(9&gt;=Species!$G173,9&lt;=Species!$H173),"H",""),IF(OR(9&gt;=Species!$G173,9&lt;=Species!$H173),"H",""))&amp;IF(Species!$I173=9,"S","")</f>
        <v/>
      </c>
      <c r="L173" s="153" t="str">
        <f aca="false">IF(Species!$G173&lt;=Species!$H173,IF(AND(10&gt;=Species!$G173,10&lt;=Species!$H173),"H",""),IF(OR(10&gt;=Species!$G173,10&lt;=Species!$H173),"H",""))&amp;IF(Species!$I173=10,"S","")</f>
        <v/>
      </c>
      <c r="M173" s="153" t="str">
        <f aca="false">IF(Species!$G173&lt;=Species!$H173,IF(AND(11&gt;=Species!$G173,11&lt;=Species!$H173),"H",""),IF(OR(11&gt;=Species!$G173,11&lt;=Species!$H173),"H",""))&amp;IF(Species!$I173=11,"S","")</f>
        <v/>
      </c>
      <c r="N173" s="153" t="str">
        <f aca="false">IF(Species!$G173&lt;=Species!$H173,IF(AND(12&gt;=Species!$G173,12&lt;=Species!$H173),"H",""),IF(OR(12&gt;=Species!$G173,12&lt;=Species!$H173),"H",""))&amp;IF(Species!$I173=12,"S","")</f>
        <v/>
      </c>
    </row>
    <row r="174" customFormat="false" ht="15" hidden="false" customHeight="false" outlineLevel="0" collapsed="false">
      <c r="A174" s="6" t="str">
        <f aca="false">Species!B174</f>
        <v>Graftwort</v>
      </c>
      <c r="B174" s="6" t="str">
        <f aca="false">Species!F174</f>
        <v>Sap</v>
      </c>
      <c r="C174" s="153" t="str">
        <f aca="false">IF(Species!$G174&lt;=Species!$H174,IF(AND(1&gt;=Species!$G174,1&lt;=Species!$H174),"H",""),IF(OR(1&gt;=Species!$G174,1&lt;=Species!$H174),"H",""))&amp;IF(Species!$I174=1,"S","")</f>
        <v/>
      </c>
      <c r="D174" s="153" t="str">
        <f aca="false">IF(Species!$G174&lt;=Species!$H174,IF(AND(2&gt;=Species!$G174,2&lt;=Species!$H174),"H",""),IF(OR(2&gt;=Species!$G174,2&lt;=Species!$H174),"H",""))&amp;IF(Species!$I174=2,"S","")</f>
        <v/>
      </c>
      <c r="E174" s="153" t="str">
        <f aca="false">IF(Species!$G174&lt;=Species!$H174,IF(AND(3&gt;=Species!$G174,3&lt;=Species!$H174),"H",""),IF(OR(3&gt;=Species!$G174,3&lt;=Species!$H174),"H",""))&amp;IF(Species!$I174=3,"S","")</f>
        <v>H</v>
      </c>
      <c r="F174" s="153" t="str">
        <f aca="false">IF(Species!$G174&lt;=Species!$H174,IF(AND(4&gt;=Species!$G174,4&lt;=Species!$H174),"H",""),IF(OR(4&gt;=Species!$G174,4&lt;=Species!$H174),"H",""))&amp;IF(Species!$I174=4,"S","")</f>
        <v>H</v>
      </c>
      <c r="G174" s="153" t="str">
        <f aca="false">IF(Species!$G174&lt;=Species!$H174,IF(AND(5&gt;=Species!$G174,5&lt;=Species!$H174),"H",""),IF(OR(5&gt;=Species!$G174,5&lt;=Species!$H174),"H",""))&amp;IF(Species!$I174=5,"S","")</f>
        <v/>
      </c>
      <c r="H174" s="153" t="str">
        <f aca="false">IF(Species!$G174&lt;=Species!$H174,IF(AND(6&gt;=Species!$G174,6&lt;=Species!$H174),"H",""),IF(OR(6&gt;=Species!$G174,6&lt;=Species!$H174),"H",""))&amp;IF(Species!$I174=6,"S","")</f>
        <v/>
      </c>
      <c r="I174" s="153" t="str">
        <f aca="false">IF(Species!$G174&lt;=Species!$H174,IF(AND(7&gt;=Species!$G174,7&lt;=Species!$H174),"H",""),IF(OR(7&gt;=Species!$G174,7&lt;=Species!$H174),"H",""))&amp;IF(Species!$I174=7,"S","")</f>
        <v/>
      </c>
      <c r="J174" s="153" t="str">
        <f aca="false">IF(Species!$G174&lt;=Species!$H174,IF(AND(8&gt;=Species!$G174,8&lt;=Species!$H174),"H",""),IF(OR(8&gt;=Species!$G174,8&lt;=Species!$H174),"H",""))&amp;IF(Species!$I174=8,"S","")</f>
        <v/>
      </c>
      <c r="K174" s="153" t="str">
        <f aca="false">IF(Species!$G174&lt;=Species!$H174,IF(AND(9&gt;=Species!$G174,9&lt;=Species!$H174),"H",""),IF(OR(9&gt;=Species!$G174,9&lt;=Species!$H174),"H",""))&amp;IF(Species!$I174=9,"S","")</f>
        <v/>
      </c>
      <c r="L174" s="153" t="str">
        <f aca="false">IF(Species!$G174&lt;=Species!$H174,IF(AND(10&gt;=Species!$G174,10&lt;=Species!$H174),"H",""),IF(OR(10&gt;=Species!$G174,10&lt;=Species!$H174),"H",""))&amp;IF(Species!$I174=10,"S","")</f>
        <v/>
      </c>
      <c r="M174" s="153" t="str">
        <f aca="false">IF(Species!$G174&lt;=Species!$H174,IF(AND(11&gt;=Species!$G174,11&lt;=Species!$H174),"H",""),IF(OR(11&gt;=Species!$G174,11&lt;=Species!$H174),"H",""))&amp;IF(Species!$I174=11,"S","")</f>
        <v/>
      </c>
      <c r="N174" s="153" t="str">
        <f aca="false">IF(Species!$G174&lt;=Species!$H174,IF(AND(12&gt;=Species!$G174,12&lt;=Species!$H174),"H",""),IF(OR(12&gt;=Species!$G174,12&lt;=Species!$H174),"H",""))&amp;IF(Species!$I174=12,"S","")</f>
        <v/>
      </c>
    </row>
    <row r="175" customFormat="false" ht="15" hidden="false" customHeight="false" outlineLevel="0" collapsed="false">
      <c r="A175" s="6" t="str">
        <f aca="false">Species!B175</f>
        <v>Sleeper's Cap</v>
      </c>
      <c r="B175" s="6" t="str">
        <f aca="false">Species!F175</f>
        <v>Fruiting body</v>
      </c>
      <c r="C175" s="153" t="str">
        <f aca="false">IF(Species!$G175&lt;=Species!$H175,IF(AND(1&gt;=Species!$G175,1&lt;=Species!$H175),"H",""),IF(OR(1&gt;=Species!$G175,1&lt;=Species!$H175),"H",""))&amp;IF(Species!$I175=1,"S","")</f>
        <v/>
      </c>
      <c r="D175" s="153" t="str">
        <f aca="false">IF(Species!$G175&lt;=Species!$H175,IF(AND(2&gt;=Species!$G175,2&lt;=Species!$H175),"H",""),IF(OR(2&gt;=Species!$G175,2&lt;=Species!$H175),"H",""))&amp;IF(Species!$I175=2,"S","")</f>
        <v/>
      </c>
      <c r="E175" s="153" t="str">
        <f aca="false">IF(Species!$G175&lt;=Species!$H175,IF(AND(3&gt;=Species!$G175,3&lt;=Species!$H175),"H",""),IF(OR(3&gt;=Species!$G175,3&lt;=Species!$H175),"H",""))&amp;IF(Species!$I175=3,"S","")</f>
        <v/>
      </c>
      <c r="F175" s="153" t="str">
        <f aca="false">IF(Species!$G175&lt;=Species!$H175,IF(AND(4&gt;=Species!$G175,4&lt;=Species!$H175),"H",""),IF(OR(4&gt;=Species!$G175,4&lt;=Species!$H175),"H",""))&amp;IF(Species!$I175=4,"S","")</f>
        <v/>
      </c>
      <c r="G175" s="153" t="str">
        <f aca="false">IF(Species!$G175&lt;=Species!$H175,IF(AND(5&gt;=Species!$G175,5&lt;=Species!$H175),"H",""),IF(OR(5&gt;=Species!$G175,5&lt;=Species!$H175),"H",""))&amp;IF(Species!$I175=5,"S","")</f>
        <v/>
      </c>
      <c r="H175" s="153" t="str">
        <f aca="false">IF(Species!$G175&lt;=Species!$H175,IF(AND(6&gt;=Species!$G175,6&lt;=Species!$H175),"H",""),IF(OR(6&gt;=Species!$G175,6&lt;=Species!$H175),"H",""))&amp;IF(Species!$I175=6,"S","")</f>
        <v/>
      </c>
      <c r="I175" s="153" t="str">
        <f aca="false">IF(Species!$G175&lt;=Species!$H175,IF(AND(7&gt;=Species!$G175,7&lt;=Species!$H175),"H",""),IF(OR(7&gt;=Species!$G175,7&lt;=Species!$H175),"H",""))&amp;IF(Species!$I175=7,"S","")</f>
        <v/>
      </c>
      <c r="J175" s="153" t="str">
        <f aca="false">IF(Species!$G175&lt;=Species!$H175,IF(AND(8&gt;=Species!$G175,8&lt;=Species!$H175),"H",""),IF(OR(8&gt;=Species!$G175,8&lt;=Species!$H175),"H",""))&amp;IF(Species!$I175=8,"S","")</f>
        <v/>
      </c>
      <c r="K175" s="153" t="str">
        <f aca="false">IF(Species!$G175&lt;=Species!$H175,IF(AND(9&gt;=Species!$G175,9&lt;=Species!$H175),"H",""),IF(OR(9&gt;=Species!$G175,9&lt;=Species!$H175),"H",""))&amp;IF(Species!$I175=9,"S","")</f>
        <v>H</v>
      </c>
      <c r="L175" s="153" t="str">
        <f aca="false">IF(Species!$G175&lt;=Species!$H175,IF(AND(10&gt;=Species!$G175,10&lt;=Species!$H175),"H",""),IF(OR(10&gt;=Species!$G175,10&lt;=Species!$H175),"H",""))&amp;IF(Species!$I175=10,"S","")</f>
        <v>H</v>
      </c>
      <c r="M175" s="153" t="str">
        <f aca="false">IF(Species!$G175&lt;=Species!$H175,IF(AND(11&gt;=Species!$G175,11&lt;=Species!$H175),"H",""),IF(OR(11&gt;=Species!$G175,11&lt;=Species!$H175),"H",""))&amp;IF(Species!$I175=11,"S","")</f>
        <v/>
      </c>
      <c r="N175" s="153" t="str">
        <f aca="false">IF(Species!$G175&lt;=Species!$H175,IF(AND(12&gt;=Species!$G175,12&lt;=Species!$H175),"H",""),IF(OR(12&gt;=Species!$G175,12&lt;=Species!$H175),"H",""))&amp;IF(Species!$I175=12,"S","")</f>
        <v/>
      </c>
    </row>
    <row r="176" customFormat="false" ht="15" hidden="false" customHeight="false" outlineLevel="0" collapsed="false">
      <c r="A176" s="6" t="str">
        <f aca="false">Species!B176</f>
        <v>Memory Lichen</v>
      </c>
      <c r="B176" s="6" t="str">
        <f aca="false">Species!F176</f>
        <v>Whole</v>
      </c>
      <c r="C176" s="153" t="str">
        <f aca="false">IF(Species!$G176&lt;=Species!$H176,IF(AND(1&gt;=Species!$G176,1&lt;=Species!$H176),"H",""),IF(OR(1&gt;=Species!$G176,1&lt;=Species!$H176),"H",""))&amp;IF(Species!$I176=1,"S","")</f>
        <v>H</v>
      </c>
      <c r="D176" s="153" t="str">
        <f aca="false">IF(Species!$G176&lt;=Species!$H176,IF(AND(2&gt;=Species!$G176,2&lt;=Species!$H176),"H",""),IF(OR(2&gt;=Species!$G176,2&lt;=Species!$H176),"H",""))&amp;IF(Species!$I176=2,"S","")</f>
        <v>H</v>
      </c>
      <c r="E176" s="153" t="str">
        <f aca="false">IF(Species!$G176&lt;=Species!$H176,IF(AND(3&gt;=Species!$G176,3&lt;=Species!$H176),"H",""),IF(OR(3&gt;=Species!$G176,3&lt;=Species!$H176),"H",""))&amp;IF(Species!$I176=3,"S","")</f>
        <v>H</v>
      </c>
      <c r="F176" s="153" t="str">
        <f aca="false">IF(Species!$G176&lt;=Species!$H176,IF(AND(4&gt;=Species!$G176,4&lt;=Species!$H176),"H",""),IF(OR(4&gt;=Species!$G176,4&lt;=Species!$H176),"H",""))&amp;IF(Species!$I176=4,"S","")</f>
        <v>H</v>
      </c>
      <c r="G176" s="153" t="str">
        <f aca="false">IF(Species!$G176&lt;=Species!$H176,IF(AND(5&gt;=Species!$G176,5&lt;=Species!$H176),"H",""),IF(OR(5&gt;=Species!$G176,5&lt;=Species!$H176),"H",""))&amp;IF(Species!$I176=5,"S","")</f>
        <v>H</v>
      </c>
      <c r="H176" s="153" t="str">
        <f aca="false">IF(Species!$G176&lt;=Species!$H176,IF(AND(6&gt;=Species!$G176,6&lt;=Species!$H176),"H",""),IF(OR(6&gt;=Species!$G176,6&lt;=Species!$H176),"H",""))&amp;IF(Species!$I176=6,"S","")</f>
        <v>H</v>
      </c>
      <c r="I176" s="153" t="str">
        <f aca="false">IF(Species!$G176&lt;=Species!$H176,IF(AND(7&gt;=Species!$G176,7&lt;=Species!$H176),"H",""),IF(OR(7&gt;=Species!$G176,7&lt;=Species!$H176),"H",""))&amp;IF(Species!$I176=7,"S","")</f>
        <v>H</v>
      </c>
      <c r="J176" s="153" t="str">
        <f aca="false">IF(Species!$G176&lt;=Species!$H176,IF(AND(8&gt;=Species!$G176,8&lt;=Species!$H176),"H",""),IF(OR(8&gt;=Species!$G176,8&lt;=Species!$H176),"H",""))&amp;IF(Species!$I176=8,"S","")</f>
        <v>H</v>
      </c>
      <c r="K176" s="153" t="str">
        <f aca="false">IF(Species!$G176&lt;=Species!$H176,IF(AND(9&gt;=Species!$G176,9&lt;=Species!$H176),"H",""),IF(OR(9&gt;=Species!$G176,9&lt;=Species!$H176),"H",""))&amp;IF(Species!$I176=9,"S","")</f>
        <v>H</v>
      </c>
      <c r="L176" s="153" t="str">
        <f aca="false">IF(Species!$G176&lt;=Species!$H176,IF(AND(10&gt;=Species!$G176,10&lt;=Species!$H176),"H",""),IF(OR(10&gt;=Species!$G176,10&lt;=Species!$H176),"H",""))&amp;IF(Species!$I176=10,"S","")</f>
        <v>H</v>
      </c>
      <c r="M176" s="153" t="str">
        <f aca="false">IF(Species!$G176&lt;=Species!$H176,IF(AND(11&gt;=Species!$G176,11&lt;=Species!$H176),"H",""),IF(OR(11&gt;=Species!$G176,11&lt;=Species!$H176),"H",""))&amp;IF(Species!$I176=11,"S","")</f>
        <v>H</v>
      </c>
      <c r="N176" s="153" t="str">
        <f aca="false">IF(Species!$G176&lt;=Species!$H176,IF(AND(12&gt;=Species!$G176,12&lt;=Species!$H176),"H",""),IF(OR(12&gt;=Species!$G176,12&lt;=Species!$H176),"H",""))&amp;IF(Species!$I176=12,"S","")</f>
        <v>H</v>
      </c>
    </row>
    <row r="177" customFormat="false" ht="15" hidden="false" customHeight="false" outlineLevel="0" collapsed="false">
      <c r="A177" s="6" t="str">
        <f aca="false">Species!B177</f>
        <v>Ashen Clover</v>
      </c>
      <c r="B177" s="6" t="str">
        <f aca="false">Species!F177</f>
        <v>Flower</v>
      </c>
      <c r="C177" s="153" t="str">
        <f aca="false">IF(Species!$G177&lt;=Species!$H177,IF(AND(1&gt;=Species!$G177,1&lt;=Species!$H177),"H",""),IF(OR(1&gt;=Species!$G177,1&lt;=Species!$H177),"H",""))&amp;IF(Species!$I177=1,"S","")</f>
        <v/>
      </c>
      <c r="D177" s="153" t="str">
        <f aca="false">IF(Species!$G177&lt;=Species!$H177,IF(AND(2&gt;=Species!$G177,2&lt;=Species!$H177),"H",""),IF(OR(2&gt;=Species!$G177,2&lt;=Species!$H177),"H",""))&amp;IF(Species!$I177=2,"S","")</f>
        <v/>
      </c>
      <c r="E177" s="153" t="str">
        <f aca="false">IF(Species!$G177&lt;=Species!$H177,IF(AND(3&gt;=Species!$G177,3&lt;=Species!$H177),"H",""),IF(OR(3&gt;=Species!$G177,3&lt;=Species!$H177),"H",""))&amp;IF(Species!$I177=3,"S","")</f>
        <v/>
      </c>
      <c r="F177" s="153" t="str">
        <f aca="false">IF(Species!$G177&lt;=Species!$H177,IF(AND(4&gt;=Species!$G177,4&lt;=Species!$H177),"H",""),IF(OR(4&gt;=Species!$G177,4&lt;=Species!$H177),"H",""))&amp;IF(Species!$I177=4,"S","")</f>
        <v/>
      </c>
      <c r="G177" s="153" t="str">
        <f aca="false">IF(Species!$G177&lt;=Species!$H177,IF(AND(5&gt;=Species!$G177,5&lt;=Species!$H177),"H",""),IF(OR(5&gt;=Species!$G177,5&lt;=Species!$H177),"H",""))&amp;IF(Species!$I177=5,"S","")</f>
        <v/>
      </c>
      <c r="H177" s="153" t="str">
        <f aca="false">IF(Species!$G177&lt;=Species!$H177,IF(AND(6&gt;=Species!$G177,6&lt;=Species!$H177),"H",""),IF(OR(6&gt;=Species!$G177,6&lt;=Species!$H177),"H",""))&amp;IF(Species!$I177=6,"S","")</f>
        <v/>
      </c>
      <c r="I177" s="153" t="str">
        <f aca="false">IF(Species!$G177&lt;=Species!$H177,IF(AND(7&gt;=Species!$G177,7&lt;=Species!$H177),"H",""),IF(OR(7&gt;=Species!$G177,7&lt;=Species!$H177),"H",""))&amp;IF(Species!$I177=7,"S","")</f>
        <v/>
      </c>
      <c r="J177" s="153" t="str">
        <f aca="false">IF(Species!$G177&lt;=Species!$H177,IF(AND(8&gt;=Species!$G177,8&lt;=Species!$H177),"H",""),IF(OR(8&gt;=Species!$G177,8&lt;=Species!$H177),"H",""))&amp;IF(Species!$I177=8,"S","")</f>
        <v/>
      </c>
      <c r="K177" s="153" t="str">
        <f aca="false">IF(Species!$G177&lt;=Species!$H177,IF(AND(9&gt;=Species!$G177,9&lt;=Species!$H177),"H",""),IF(OR(9&gt;=Species!$G177,9&lt;=Species!$H177),"H",""))&amp;IF(Species!$I177=9,"S","")</f>
        <v/>
      </c>
      <c r="L177" s="153" t="str">
        <f aca="false">IF(Species!$G177&lt;=Species!$H177,IF(AND(10&gt;=Species!$G177,10&lt;=Species!$H177),"H",""),IF(OR(10&gt;=Species!$G177,10&lt;=Species!$H177),"H",""))&amp;IF(Species!$I177=10,"S","")</f>
        <v>H</v>
      </c>
      <c r="M177" s="153" t="str">
        <f aca="false">IF(Species!$G177&lt;=Species!$H177,IF(AND(11&gt;=Species!$G177,11&lt;=Species!$H177),"H",""),IF(OR(11&gt;=Species!$G177,11&lt;=Species!$H177),"H",""))&amp;IF(Species!$I177=11,"S","")</f>
        <v/>
      </c>
      <c r="N177" s="153" t="str">
        <f aca="false">IF(Species!$G177&lt;=Species!$H177,IF(AND(12&gt;=Species!$G177,12&lt;=Species!$H177),"H",""),IF(OR(12&gt;=Species!$G177,12&lt;=Species!$H177),"H",""))&amp;IF(Species!$I177=12,"S","")</f>
        <v/>
      </c>
    </row>
    <row r="178" customFormat="false" ht="15" hidden="false" customHeight="false" outlineLevel="0" collapsed="false">
      <c r="A178" s="6" t="str">
        <f aca="false">Species!B178</f>
        <v>Veinroot</v>
      </c>
      <c r="B178" s="6" t="str">
        <f aca="false">Species!F178</f>
        <v>Root</v>
      </c>
      <c r="C178" s="153" t="str">
        <f aca="false">IF(Species!$G178&lt;=Species!$H178,IF(AND(1&gt;=Species!$G178,1&lt;=Species!$H178),"H",""),IF(OR(1&gt;=Species!$G178,1&lt;=Species!$H178),"H",""))&amp;IF(Species!$I178=1,"S","")</f>
        <v>H</v>
      </c>
      <c r="D178" s="153" t="str">
        <f aca="false">IF(Species!$G178&lt;=Species!$H178,IF(AND(2&gt;=Species!$G178,2&lt;=Species!$H178),"H",""),IF(OR(2&gt;=Species!$G178,2&lt;=Species!$H178),"H",""))&amp;IF(Species!$I178=2,"S","")</f>
        <v>H</v>
      </c>
      <c r="E178" s="153" t="str">
        <f aca="false">IF(Species!$G178&lt;=Species!$H178,IF(AND(3&gt;=Species!$G178,3&lt;=Species!$H178),"H",""),IF(OR(3&gt;=Species!$G178,3&lt;=Species!$H178),"H",""))&amp;IF(Species!$I178=3,"S","")</f>
        <v/>
      </c>
      <c r="F178" s="153" t="str">
        <f aca="false">IF(Species!$G178&lt;=Species!$H178,IF(AND(4&gt;=Species!$G178,4&lt;=Species!$H178),"H",""),IF(OR(4&gt;=Species!$G178,4&lt;=Species!$H178),"H",""))&amp;IF(Species!$I178=4,"S","")</f>
        <v/>
      </c>
      <c r="G178" s="153" t="str">
        <f aca="false">IF(Species!$G178&lt;=Species!$H178,IF(AND(5&gt;=Species!$G178,5&lt;=Species!$H178),"H",""),IF(OR(5&gt;=Species!$G178,5&lt;=Species!$H178),"H",""))&amp;IF(Species!$I178=5,"S","")</f>
        <v/>
      </c>
      <c r="H178" s="153" t="str">
        <f aca="false">IF(Species!$G178&lt;=Species!$H178,IF(AND(6&gt;=Species!$G178,6&lt;=Species!$H178),"H",""),IF(OR(6&gt;=Species!$G178,6&lt;=Species!$H178),"H",""))&amp;IF(Species!$I178=6,"S","")</f>
        <v/>
      </c>
      <c r="I178" s="153" t="str">
        <f aca="false">IF(Species!$G178&lt;=Species!$H178,IF(AND(7&gt;=Species!$G178,7&lt;=Species!$H178),"H",""),IF(OR(7&gt;=Species!$G178,7&lt;=Species!$H178),"H",""))&amp;IF(Species!$I178=7,"S","")</f>
        <v/>
      </c>
      <c r="J178" s="153" t="str">
        <f aca="false">IF(Species!$G178&lt;=Species!$H178,IF(AND(8&gt;=Species!$G178,8&lt;=Species!$H178),"H",""),IF(OR(8&gt;=Species!$G178,8&lt;=Species!$H178),"H",""))&amp;IF(Species!$I178=8,"S","")</f>
        <v/>
      </c>
      <c r="K178" s="153" t="str">
        <f aca="false">IF(Species!$G178&lt;=Species!$H178,IF(AND(9&gt;=Species!$G178,9&lt;=Species!$H178),"H",""),IF(OR(9&gt;=Species!$G178,9&lt;=Species!$H178),"H",""))&amp;IF(Species!$I178=9,"S","")</f>
        <v/>
      </c>
      <c r="L178" s="153" t="str">
        <f aca="false">IF(Species!$G178&lt;=Species!$H178,IF(AND(10&gt;=Species!$G178,10&lt;=Species!$H178),"H",""),IF(OR(10&gt;=Species!$G178,10&lt;=Species!$H178),"H",""))&amp;IF(Species!$I178=10,"S","")</f>
        <v/>
      </c>
      <c r="M178" s="153" t="str">
        <f aca="false">IF(Species!$G178&lt;=Species!$H178,IF(AND(11&gt;=Species!$G178,11&lt;=Species!$H178),"H",""),IF(OR(11&gt;=Species!$G178,11&lt;=Species!$H178),"H",""))&amp;IF(Species!$I178=11,"S","")</f>
        <v>H</v>
      </c>
      <c r="N178" s="153" t="str">
        <f aca="false">IF(Species!$G178&lt;=Species!$H178,IF(AND(12&gt;=Species!$G178,12&lt;=Species!$H178),"H",""),IF(OR(12&gt;=Species!$G178,12&lt;=Species!$H178),"H",""))&amp;IF(Species!$I178=12,"S","")</f>
        <v>H</v>
      </c>
    </row>
    <row r="179" customFormat="false" ht="15" hidden="false" customHeight="false" outlineLevel="0" collapsed="false">
      <c r="A179" s="6" t="str">
        <f aca="false">Species!B179</f>
        <v>Quietgrass</v>
      </c>
      <c r="B179" s="6" t="str">
        <f aca="false">Species!F179</f>
        <v>Seed</v>
      </c>
      <c r="C179" s="153" t="str">
        <f aca="false">IF(Species!$G179&lt;=Species!$H179,IF(AND(1&gt;=Species!$G179,1&lt;=Species!$H179),"H",""),IF(OR(1&gt;=Species!$G179,1&lt;=Species!$H179),"H",""))&amp;IF(Species!$I179=1,"S","")</f>
        <v/>
      </c>
      <c r="D179" s="153" t="str">
        <f aca="false">IF(Species!$G179&lt;=Species!$H179,IF(AND(2&gt;=Species!$G179,2&lt;=Species!$H179),"H",""),IF(OR(2&gt;=Species!$G179,2&lt;=Species!$H179),"H",""))&amp;IF(Species!$I179=2,"S","")</f>
        <v/>
      </c>
      <c r="E179" s="153" t="str">
        <f aca="false">IF(Species!$G179&lt;=Species!$H179,IF(AND(3&gt;=Species!$G179,3&lt;=Species!$H179),"H",""),IF(OR(3&gt;=Species!$G179,3&lt;=Species!$H179),"H",""))&amp;IF(Species!$I179=3,"S","")</f>
        <v/>
      </c>
      <c r="F179" s="153" t="str">
        <f aca="false">IF(Species!$G179&lt;=Species!$H179,IF(AND(4&gt;=Species!$G179,4&lt;=Species!$H179),"H",""),IF(OR(4&gt;=Species!$G179,4&lt;=Species!$H179),"H",""))&amp;IF(Species!$I179=4,"S","")</f>
        <v/>
      </c>
      <c r="G179" s="153" t="str">
        <f aca="false">IF(Species!$G179&lt;=Species!$H179,IF(AND(5&gt;=Species!$G179,5&lt;=Species!$H179),"H",""),IF(OR(5&gt;=Species!$G179,5&lt;=Species!$H179),"H",""))&amp;IF(Species!$I179=5,"S","")</f>
        <v/>
      </c>
      <c r="H179" s="153" t="str">
        <f aca="false">IF(Species!$G179&lt;=Species!$H179,IF(AND(6&gt;=Species!$G179,6&lt;=Species!$H179),"H",""),IF(OR(6&gt;=Species!$G179,6&lt;=Species!$H179),"H",""))&amp;IF(Species!$I179=6,"S","")</f>
        <v/>
      </c>
      <c r="I179" s="153" t="str">
        <f aca="false">IF(Species!$G179&lt;=Species!$H179,IF(AND(7&gt;=Species!$G179,7&lt;=Species!$H179),"H",""),IF(OR(7&gt;=Species!$G179,7&lt;=Species!$H179),"H",""))&amp;IF(Species!$I179=7,"S","")</f>
        <v/>
      </c>
      <c r="J179" s="153" t="str">
        <f aca="false">IF(Species!$G179&lt;=Species!$H179,IF(AND(8&gt;=Species!$G179,8&lt;=Species!$H179),"H",""),IF(OR(8&gt;=Species!$G179,8&lt;=Species!$H179),"H",""))&amp;IF(Species!$I179=8,"S","")</f>
        <v>H</v>
      </c>
      <c r="K179" s="153" t="str">
        <f aca="false">IF(Species!$G179&lt;=Species!$H179,IF(AND(9&gt;=Species!$G179,9&lt;=Species!$H179),"H",""),IF(OR(9&gt;=Species!$G179,9&lt;=Species!$H179),"H",""))&amp;IF(Species!$I179=9,"S","")</f>
        <v/>
      </c>
      <c r="L179" s="153" t="str">
        <f aca="false">IF(Species!$G179&lt;=Species!$H179,IF(AND(10&gt;=Species!$G179,10&lt;=Species!$H179),"H",""),IF(OR(10&gt;=Species!$G179,10&lt;=Species!$H179),"H",""))&amp;IF(Species!$I179=10,"S","")</f>
        <v/>
      </c>
      <c r="M179" s="153" t="str">
        <f aca="false">IF(Species!$G179&lt;=Species!$H179,IF(AND(11&gt;=Species!$G179,11&lt;=Species!$H179),"H",""),IF(OR(11&gt;=Species!$G179,11&lt;=Species!$H179),"H",""))&amp;IF(Species!$I179=11,"S","")</f>
        <v/>
      </c>
      <c r="N179" s="153" t="str">
        <f aca="false">IF(Species!$G179&lt;=Species!$H179,IF(AND(12&gt;=Species!$G179,12&lt;=Species!$H179),"H",""),IF(OR(12&gt;=Species!$G179,12&lt;=Species!$H179),"H",""))&amp;IF(Species!$I179=12,"S","")</f>
        <v/>
      </c>
    </row>
    <row r="180" customFormat="false" ht="15" hidden="false" customHeight="false" outlineLevel="0" collapsed="false">
      <c r="A180" s="6" t="str">
        <f aca="false">Species!B180</f>
        <v>Broadleaf Plantain</v>
      </c>
      <c r="B180" s="6" t="str">
        <f aca="false">Species!F180</f>
        <v>Leaf</v>
      </c>
      <c r="C180" s="153" t="str">
        <f aca="false">IF(Species!$G180&lt;=Species!$H180,IF(AND(1&gt;=Species!$G180,1&lt;=Species!$H180),"H",""),IF(OR(1&gt;=Species!$G180,1&lt;=Species!$H180),"H",""))&amp;IF(Species!$I180=1,"S","")</f>
        <v/>
      </c>
      <c r="D180" s="153" t="str">
        <f aca="false">IF(Species!$G180&lt;=Species!$H180,IF(AND(2&gt;=Species!$G180,2&lt;=Species!$H180),"H",""),IF(OR(2&gt;=Species!$G180,2&lt;=Species!$H180),"H",""))&amp;IF(Species!$I180=2,"S","")</f>
        <v/>
      </c>
      <c r="E180" s="153" t="str">
        <f aca="false">IF(Species!$G180&lt;=Species!$H180,IF(AND(3&gt;=Species!$G180,3&lt;=Species!$H180),"H",""),IF(OR(3&gt;=Species!$G180,3&lt;=Species!$H180),"H",""))&amp;IF(Species!$I180=3,"S","")</f>
        <v/>
      </c>
      <c r="F180" s="153" t="str">
        <f aca="false">IF(Species!$G180&lt;=Species!$H180,IF(AND(4&gt;=Species!$G180,4&lt;=Species!$H180),"H",""),IF(OR(4&gt;=Species!$G180,4&lt;=Species!$H180),"H",""))&amp;IF(Species!$I180=4,"S","")</f>
        <v>H</v>
      </c>
      <c r="G180" s="153" t="str">
        <f aca="false">IF(Species!$G180&lt;=Species!$H180,IF(AND(5&gt;=Species!$G180,5&lt;=Species!$H180),"H",""),IF(OR(5&gt;=Species!$G180,5&lt;=Species!$H180),"H",""))&amp;IF(Species!$I180=5,"S","")</f>
        <v>H</v>
      </c>
      <c r="H180" s="153" t="str">
        <f aca="false">IF(Species!$G180&lt;=Species!$H180,IF(AND(6&gt;=Species!$G180,6&lt;=Species!$H180),"H",""),IF(OR(6&gt;=Species!$G180,6&lt;=Species!$H180),"H",""))&amp;IF(Species!$I180=6,"S","")</f>
        <v>H</v>
      </c>
      <c r="I180" s="153" t="str">
        <f aca="false">IF(Species!$G180&lt;=Species!$H180,IF(AND(7&gt;=Species!$G180,7&lt;=Species!$H180),"H",""),IF(OR(7&gt;=Species!$G180,7&lt;=Species!$H180),"H",""))&amp;IF(Species!$I180=7,"S","")</f>
        <v>H</v>
      </c>
      <c r="J180" s="153" t="str">
        <f aca="false">IF(Species!$G180&lt;=Species!$H180,IF(AND(8&gt;=Species!$G180,8&lt;=Species!$H180),"H",""),IF(OR(8&gt;=Species!$G180,8&lt;=Species!$H180),"H",""))&amp;IF(Species!$I180=8,"S","")</f>
        <v>HS</v>
      </c>
      <c r="K180" s="153" t="str">
        <f aca="false">IF(Species!$G180&lt;=Species!$H180,IF(AND(9&gt;=Species!$G180,9&lt;=Species!$H180),"H",""),IF(OR(9&gt;=Species!$G180,9&lt;=Species!$H180),"H",""))&amp;IF(Species!$I180=9,"S","")</f>
        <v>H</v>
      </c>
      <c r="L180" s="153" t="str">
        <f aca="false">IF(Species!$G180&lt;=Species!$H180,IF(AND(10&gt;=Species!$G180,10&lt;=Species!$H180),"H",""),IF(OR(10&gt;=Species!$G180,10&lt;=Species!$H180),"H",""))&amp;IF(Species!$I180=10,"S","")</f>
        <v>H</v>
      </c>
      <c r="M180" s="153" t="str">
        <f aca="false">IF(Species!$G180&lt;=Species!$H180,IF(AND(11&gt;=Species!$G180,11&lt;=Species!$H180),"H",""),IF(OR(11&gt;=Species!$G180,11&lt;=Species!$H180),"H",""))&amp;IF(Species!$I180=11,"S","")</f>
        <v/>
      </c>
      <c r="N180" s="153" t="str">
        <f aca="false">IF(Species!$G180&lt;=Species!$H180,IF(AND(12&gt;=Species!$G180,12&lt;=Species!$H180),"H",""),IF(OR(12&gt;=Species!$G180,12&lt;=Species!$H180),"H",""))&amp;IF(Species!$I180=12,"S","")</f>
        <v/>
      </c>
    </row>
    <row r="181" customFormat="false" ht="15" hidden="false" customHeight="false" outlineLevel="0" collapsed="false">
      <c r="A181" s="6" t="str">
        <f aca="false">Species!B181</f>
        <v>Lawn Turf (Bluegrass)</v>
      </c>
      <c r="B181" s="6" t="str">
        <f aca="false">Species!F181</f>
        <v>Whole</v>
      </c>
      <c r="C181" s="153" t="str">
        <f aca="false">IF(Species!$G181&lt;=Species!$H181,IF(AND(1&gt;=Species!$G181,1&lt;=Species!$H181),"H",""),IF(OR(1&gt;=Species!$G181,1&lt;=Species!$H181),"H",""))&amp;IF(Species!$I181=1,"S","")</f>
        <v/>
      </c>
      <c r="D181" s="153" t="str">
        <f aca="false">IF(Species!$G181&lt;=Species!$H181,IF(AND(2&gt;=Species!$G181,2&lt;=Species!$H181),"H",""),IF(OR(2&gt;=Species!$G181,2&lt;=Species!$H181),"H",""))&amp;IF(Species!$I181=2,"S","")</f>
        <v/>
      </c>
      <c r="E181" s="153" t="str">
        <f aca="false">IF(Species!$G181&lt;=Species!$H181,IF(AND(3&gt;=Species!$G181,3&lt;=Species!$H181),"H",""),IF(OR(3&gt;=Species!$G181,3&lt;=Species!$H181),"H",""))&amp;IF(Species!$I181=3,"S","")</f>
        <v/>
      </c>
      <c r="F181" s="153" t="str">
        <f aca="false">IF(Species!$G181&lt;=Species!$H181,IF(AND(4&gt;=Species!$G181,4&lt;=Species!$H181),"H",""),IF(OR(4&gt;=Species!$G181,4&lt;=Species!$H181),"H",""))&amp;IF(Species!$I181=4,"S","")</f>
        <v>H</v>
      </c>
      <c r="G181" s="153" t="str">
        <f aca="false">IF(Species!$G181&lt;=Species!$H181,IF(AND(5&gt;=Species!$G181,5&lt;=Species!$H181),"H",""),IF(OR(5&gt;=Species!$G181,5&lt;=Species!$H181),"H",""))&amp;IF(Species!$I181=5,"S","")</f>
        <v>H</v>
      </c>
      <c r="H181" s="153" t="str">
        <f aca="false">IF(Species!$G181&lt;=Species!$H181,IF(AND(6&gt;=Species!$G181,6&lt;=Species!$H181),"H",""),IF(OR(6&gt;=Species!$G181,6&lt;=Species!$H181),"H",""))&amp;IF(Species!$I181=6,"S","")</f>
        <v>HS</v>
      </c>
      <c r="I181" s="153" t="str">
        <f aca="false">IF(Species!$G181&lt;=Species!$H181,IF(AND(7&gt;=Species!$G181,7&lt;=Species!$H181),"H",""),IF(OR(7&gt;=Species!$G181,7&lt;=Species!$H181),"H",""))&amp;IF(Species!$I181=7,"S","")</f>
        <v>H</v>
      </c>
      <c r="J181" s="153" t="str">
        <f aca="false">IF(Species!$G181&lt;=Species!$H181,IF(AND(8&gt;=Species!$G181,8&lt;=Species!$H181),"H",""),IF(OR(8&gt;=Species!$G181,8&lt;=Species!$H181),"H",""))&amp;IF(Species!$I181=8,"S","")</f>
        <v>H</v>
      </c>
      <c r="K181" s="153" t="str">
        <f aca="false">IF(Species!$G181&lt;=Species!$H181,IF(AND(9&gt;=Species!$G181,9&lt;=Species!$H181),"H",""),IF(OR(9&gt;=Species!$G181,9&lt;=Species!$H181),"H",""))&amp;IF(Species!$I181=9,"S","")</f>
        <v>H</v>
      </c>
      <c r="L181" s="153" t="str">
        <f aca="false">IF(Species!$G181&lt;=Species!$H181,IF(AND(10&gt;=Species!$G181,10&lt;=Species!$H181),"H",""),IF(OR(10&gt;=Species!$G181,10&lt;=Species!$H181),"H",""))&amp;IF(Species!$I181=10,"S","")</f>
        <v>H</v>
      </c>
      <c r="M181" s="153" t="str">
        <f aca="false">IF(Species!$G181&lt;=Species!$H181,IF(AND(11&gt;=Species!$G181,11&lt;=Species!$H181),"H",""),IF(OR(11&gt;=Species!$G181,11&lt;=Species!$H181),"H",""))&amp;IF(Species!$I181=11,"S","")</f>
        <v/>
      </c>
      <c r="N181" s="153" t="str">
        <f aca="false">IF(Species!$G181&lt;=Species!$H181,IF(AND(12&gt;=Species!$G181,12&lt;=Species!$H181),"H",""),IF(OR(12&gt;=Species!$G181,12&lt;=Species!$H181),"H",""))&amp;IF(Species!$I181=12,"S","")</f>
        <v/>
      </c>
    </row>
    <row r="182" customFormat="false" ht="15" hidden="false" customHeight="false" outlineLevel="0" collapsed="false">
      <c r="A182" s="6" t="str">
        <f aca="false">Species!B182</f>
        <v>Giant Foxtail</v>
      </c>
      <c r="B182" s="6" t="str">
        <f aca="false">Species!F182</f>
        <v>Seed</v>
      </c>
      <c r="C182" s="153" t="str">
        <f aca="false">IF(Species!$G182&lt;=Species!$H182,IF(AND(1&gt;=Species!$G182,1&lt;=Species!$H182),"H",""),IF(OR(1&gt;=Species!$G182,1&lt;=Species!$H182),"H",""))&amp;IF(Species!$I182=1,"S","")</f>
        <v/>
      </c>
      <c r="D182" s="153" t="str">
        <f aca="false">IF(Species!$G182&lt;=Species!$H182,IF(AND(2&gt;=Species!$G182,2&lt;=Species!$H182),"H",""),IF(OR(2&gt;=Species!$G182,2&lt;=Species!$H182),"H",""))&amp;IF(Species!$I182=2,"S","")</f>
        <v/>
      </c>
      <c r="E182" s="153" t="str">
        <f aca="false">IF(Species!$G182&lt;=Species!$H182,IF(AND(3&gt;=Species!$G182,3&lt;=Species!$H182),"H",""),IF(OR(3&gt;=Species!$G182,3&lt;=Species!$H182),"H",""))&amp;IF(Species!$I182=3,"S","")</f>
        <v/>
      </c>
      <c r="F182" s="153" t="str">
        <f aca="false">IF(Species!$G182&lt;=Species!$H182,IF(AND(4&gt;=Species!$G182,4&lt;=Species!$H182),"H",""),IF(OR(4&gt;=Species!$G182,4&lt;=Species!$H182),"H",""))&amp;IF(Species!$I182=4,"S","")</f>
        <v/>
      </c>
      <c r="G182" s="153" t="str">
        <f aca="false">IF(Species!$G182&lt;=Species!$H182,IF(AND(5&gt;=Species!$G182,5&lt;=Species!$H182),"H",""),IF(OR(5&gt;=Species!$G182,5&lt;=Species!$H182),"H",""))&amp;IF(Species!$I182=5,"S","")</f>
        <v/>
      </c>
      <c r="H182" s="153" t="str">
        <f aca="false">IF(Species!$G182&lt;=Species!$H182,IF(AND(6&gt;=Species!$G182,6&lt;=Species!$H182),"H",""),IF(OR(6&gt;=Species!$G182,6&lt;=Species!$H182),"H",""))&amp;IF(Species!$I182=6,"S","")</f>
        <v/>
      </c>
      <c r="I182" s="153" t="str">
        <f aca="false">IF(Species!$G182&lt;=Species!$H182,IF(AND(7&gt;=Species!$G182,7&lt;=Species!$H182),"H",""),IF(OR(7&gt;=Species!$G182,7&lt;=Species!$H182),"H",""))&amp;IF(Species!$I182=7,"S","")</f>
        <v/>
      </c>
      <c r="J182" s="153" t="str">
        <f aca="false">IF(Species!$G182&lt;=Species!$H182,IF(AND(8&gt;=Species!$G182,8&lt;=Species!$H182),"H",""),IF(OR(8&gt;=Species!$G182,8&lt;=Species!$H182),"H",""))&amp;IF(Species!$I182=8,"S","")</f>
        <v>H</v>
      </c>
      <c r="K182" s="153" t="str">
        <f aca="false">IF(Species!$G182&lt;=Species!$H182,IF(AND(9&gt;=Species!$G182,9&lt;=Species!$H182),"H",""),IF(OR(9&gt;=Species!$G182,9&lt;=Species!$H182),"H",""))&amp;IF(Species!$I182=9,"S","")</f>
        <v>HS</v>
      </c>
      <c r="L182" s="153" t="str">
        <f aca="false">IF(Species!$G182&lt;=Species!$H182,IF(AND(10&gt;=Species!$G182,10&lt;=Species!$H182),"H",""),IF(OR(10&gt;=Species!$G182,10&lt;=Species!$H182),"H",""))&amp;IF(Species!$I182=10,"S","")</f>
        <v>H</v>
      </c>
      <c r="M182" s="153" t="str">
        <f aca="false">IF(Species!$G182&lt;=Species!$H182,IF(AND(11&gt;=Species!$G182,11&lt;=Species!$H182),"H",""),IF(OR(11&gt;=Species!$G182,11&lt;=Species!$H182),"H",""))&amp;IF(Species!$I182=11,"S","")</f>
        <v/>
      </c>
      <c r="N182" s="153" t="str">
        <f aca="false">IF(Species!$G182&lt;=Species!$H182,IF(AND(12&gt;=Species!$G182,12&lt;=Species!$H182),"H",""),IF(OR(12&gt;=Species!$G182,12&lt;=Species!$H182),"H",""))&amp;IF(Species!$I182=12,"S","")</f>
        <v/>
      </c>
    </row>
    <row r="183" customFormat="false" ht="15" hidden="false" customHeight="false" outlineLevel="0" collapsed="false">
      <c r="A183" s="6" t="str">
        <f aca="false">Species!B183</f>
        <v>Broomsedge</v>
      </c>
      <c r="B183" s="6" t="str">
        <f aca="false">Species!F183</f>
        <v>Whole</v>
      </c>
      <c r="C183" s="153" t="str">
        <f aca="false">IF(Species!$G183&lt;=Species!$H183,IF(AND(1&gt;=Species!$G183,1&lt;=Species!$H183),"H",""),IF(OR(1&gt;=Species!$G183,1&lt;=Species!$H183),"H",""))&amp;IF(Species!$I183=1,"S","")</f>
        <v>H</v>
      </c>
      <c r="D183" s="153" t="str">
        <f aca="false">IF(Species!$G183&lt;=Species!$H183,IF(AND(2&gt;=Species!$G183,2&lt;=Species!$H183),"H",""),IF(OR(2&gt;=Species!$G183,2&lt;=Species!$H183),"H",""))&amp;IF(Species!$I183=2,"S","")</f>
        <v>H</v>
      </c>
      <c r="E183" s="153" t="str">
        <f aca="false">IF(Species!$G183&lt;=Species!$H183,IF(AND(3&gt;=Species!$G183,3&lt;=Species!$H183),"H",""),IF(OR(3&gt;=Species!$G183,3&lt;=Species!$H183),"H",""))&amp;IF(Species!$I183=3,"S","")</f>
        <v>H</v>
      </c>
      <c r="F183" s="153" t="str">
        <f aca="false">IF(Species!$G183&lt;=Species!$H183,IF(AND(4&gt;=Species!$G183,4&lt;=Species!$H183),"H",""),IF(OR(4&gt;=Species!$G183,4&lt;=Species!$H183),"H",""))&amp;IF(Species!$I183=4,"S","")</f>
        <v/>
      </c>
      <c r="G183" s="153" t="str">
        <f aca="false">IF(Species!$G183&lt;=Species!$H183,IF(AND(5&gt;=Species!$G183,5&lt;=Species!$H183),"H",""),IF(OR(5&gt;=Species!$G183,5&lt;=Species!$H183),"H",""))&amp;IF(Species!$I183=5,"S","")</f>
        <v/>
      </c>
      <c r="H183" s="153" t="str">
        <f aca="false">IF(Species!$G183&lt;=Species!$H183,IF(AND(6&gt;=Species!$G183,6&lt;=Species!$H183),"H",""),IF(OR(6&gt;=Species!$G183,6&lt;=Species!$H183),"H",""))&amp;IF(Species!$I183=6,"S","")</f>
        <v/>
      </c>
      <c r="I183" s="153" t="str">
        <f aca="false">IF(Species!$G183&lt;=Species!$H183,IF(AND(7&gt;=Species!$G183,7&lt;=Species!$H183),"H",""),IF(OR(7&gt;=Species!$G183,7&lt;=Species!$H183),"H",""))&amp;IF(Species!$I183=7,"S","")</f>
        <v/>
      </c>
      <c r="J183" s="153" t="str">
        <f aca="false">IF(Species!$G183&lt;=Species!$H183,IF(AND(8&gt;=Species!$G183,8&lt;=Species!$H183),"H",""),IF(OR(8&gt;=Species!$G183,8&lt;=Species!$H183),"H",""))&amp;IF(Species!$I183=8,"S","")</f>
        <v/>
      </c>
      <c r="K183" s="153" t="str">
        <f aca="false">IF(Species!$G183&lt;=Species!$H183,IF(AND(9&gt;=Species!$G183,9&lt;=Species!$H183),"H",""),IF(OR(9&gt;=Species!$G183,9&lt;=Species!$H183),"H",""))&amp;IF(Species!$I183=9,"S","")</f>
        <v/>
      </c>
      <c r="L183" s="153" t="str">
        <f aca="false">IF(Species!$G183&lt;=Species!$H183,IF(AND(10&gt;=Species!$G183,10&lt;=Species!$H183),"H",""),IF(OR(10&gt;=Species!$G183,10&lt;=Species!$H183),"H",""))&amp;IF(Species!$I183=10,"S","")</f>
        <v>HS</v>
      </c>
      <c r="M183" s="153" t="str">
        <f aca="false">IF(Species!$G183&lt;=Species!$H183,IF(AND(11&gt;=Species!$G183,11&lt;=Species!$H183),"H",""),IF(OR(11&gt;=Species!$G183,11&lt;=Species!$H183),"H",""))&amp;IF(Species!$I183=11,"S","")</f>
        <v>H</v>
      </c>
      <c r="N183" s="153" t="str">
        <f aca="false">IF(Species!$G183&lt;=Species!$H183,IF(AND(12&gt;=Species!$G183,12&lt;=Species!$H183),"H",""),IF(OR(12&gt;=Species!$G183,12&lt;=Species!$H183),"H",""))&amp;IF(Species!$I183=12,"S","")</f>
        <v>H</v>
      </c>
    </row>
    <row r="184" customFormat="false" ht="15" hidden="false" customHeight="false" outlineLevel="0" collapsed="false">
      <c r="A184" s="6" t="str">
        <f aca="false">Species!B184</f>
        <v>Tall Fescue</v>
      </c>
      <c r="B184" s="6" t="str">
        <f aca="false">Species!F184</f>
        <v>Whole</v>
      </c>
      <c r="C184" s="153" t="str">
        <f aca="false">IF(Species!$G184&lt;=Species!$H184,IF(AND(1&gt;=Species!$G184,1&lt;=Species!$H184),"H",""),IF(OR(1&gt;=Species!$G184,1&lt;=Species!$H184),"H",""))&amp;IF(Species!$I184=1,"S","")</f>
        <v/>
      </c>
      <c r="D184" s="153" t="str">
        <f aca="false">IF(Species!$G184&lt;=Species!$H184,IF(AND(2&gt;=Species!$G184,2&lt;=Species!$H184),"H",""),IF(OR(2&gt;=Species!$G184,2&lt;=Species!$H184),"H",""))&amp;IF(Species!$I184=2,"S","")</f>
        <v/>
      </c>
      <c r="E184" s="153" t="str">
        <f aca="false">IF(Species!$G184&lt;=Species!$H184,IF(AND(3&gt;=Species!$G184,3&lt;=Species!$H184),"H",""),IF(OR(3&gt;=Species!$G184,3&lt;=Species!$H184),"H",""))&amp;IF(Species!$I184=3,"S","")</f>
        <v/>
      </c>
      <c r="F184" s="153" t="str">
        <f aca="false">IF(Species!$G184&lt;=Species!$H184,IF(AND(4&gt;=Species!$G184,4&lt;=Species!$H184),"H",""),IF(OR(4&gt;=Species!$G184,4&lt;=Species!$H184),"H",""))&amp;IF(Species!$I184=4,"S","")</f>
        <v>H</v>
      </c>
      <c r="G184" s="153" t="str">
        <f aca="false">IF(Species!$G184&lt;=Species!$H184,IF(AND(5&gt;=Species!$G184,5&lt;=Species!$H184),"H",""),IF(OR(5&gt;=Species!$G184,5&lt;=Species!$H184),"H",""))&amp;IF(Species!$I184=5,"S","")</f>
        <v>H</v>
      </c>
      <c r="H184" s="153" t="str">
        <f aca="false">IF(Species!$G184&lt;=Species!$H184,IF(AND(6&gt;=Species!$G184,6&lt;=Species!$H184),"H",""),IF(OR(6&gt;=Species!$G184,6&lt;=Species!$H184),"H",""))&amp;IF(Species!$I184=6,"S","")</f>
        <v>HS</v>
      </c>
      <c r="I184" s="153" t="str">
        <f aca="false">IF(Species!$G184&lt;=Species!$H184,IF(AND(7&gt;=Species!$G184,7&lt;=Species!$H184),"H",""),IF(OR(7&gt;=Species!$G184,7&lt;=Species!$H184),"H",""))&amp;IF(Species!$I184=7,"S","")</f>
        <v>H</v>
      </c>
      <c r="J184" s="153" t="str">
        <f aca="false">IF(Species!$G184&lt;=Species!$H184,IF(AND(8&gt;=Species!$G184,8&lt;=Species!$H184),"H",""),IF(OR(8&gt;=Species!$G184,8&lt;=Species!$H184),"H",""))&amp;IF(Species!$I184=8,"S","")</f>
        <v>H</v>
      </c>
      <c r="K184" s="153" t="str">
        <f aca="false">IF(Species!$G184&lt;=Species!$H184,IF(AND(9&gt;=Species!$G184,9&lt;=Species!$H184),"H",""),IF(OR(9&gt;=Species!$G184,9&lt;=Species!$H184),"H",""))&amp;IF(Species!$I184=9,"S","")</f>
        <v>H</v>
      </c>
      <c r="L184" s="153" t="str">
        <f aca="false">IF(Species!$G184&lt;=Species!$H184,IF(AND(10&gt;=Species!$G184,10&lt;=Species!$H184),"H",""),IF(OR(10&gt;=Species!$G184,10&lt;=Species!$H184),"H",""))&amp;IF(Species!$I184=10,"S","")</f>
        <v>H</v>
      </c>
      <c r="M184" s="153" t="str">
        <f aca="false">IF(Species!$G184&lt;=Species!$H184,IF(AND(11&gt;=Species!$G184,11&lt;=Species!$H184),"H",""),IF(OR(11&gt;=Species!$G184,11&lt;=Species!$H184),"H",""))&amp;IF(Species!$I184=11,"S","")</f>
        <v>H</v>
      </c>
      <c r="N184" s="153" t="str">
        <f aca="false">IF(Species!$G184&lt;=Species!$H184,IF(AND(12&gt;=Species!$G184,12&lt;=Species!$H184),"H",""),IF(OR(12&gt;=Species!$G184,12&lt;=Species!$H184),"H",""))&amp;IF(Species!$I184=12,"S","")</f>
        <v/>
      </c>
    </row>
    <row r="185" customFormat="false" ht="15" hidden="false" customHeight="false" outlineLevel="0" collapsed="false">
      <c r="A185" s="6" t="str">
        <f aca="false">Species!B185</f>
        <v>Pennsylvania Sedge</v>
      </c>
      <c r="B185" s="6" t="str">
        <f aca="false">Species!F185</f>
        <v>Leaf</v>
      </c>
      <c r="C185" s="153" t="str">
        <f aca="false">IF(Species!$G185&lt;=Species!$H185,IF(AND(1&gt;=Species!$G185,1&lt;=Species!$H185),"H",""),IF(OR(1&gt;=Species!$G185,1&lt;=Species!$H185),"H",""))&amp;IF(Species!$I185=1,"S","")</f>
        <v/>
      </c>
      <c r="D185" s="153" t="str">
        <f aca="false">IF(Species!$G185&lt;=Species!$H185,IF(AND(2&gt;=Species!$G185,2&lt;=Species!$H185),"H",""),IF(OR(2&gt;=Species!$G185,2&lt;=Species!$H185),"H",""))&amp;IF(Species!$I185=2,"S","")</f>
        <v/>
      </c>
      <c r="E185" s="153" t="str">
        <f aca="false">IF(Species!$G185&lt;=Species!$H185,IF(AND(3&gt;=Species!$G185,3&lt;=Species!$H185),"H",""),IF(OR(3&gt;=Species!$G185,3&lt;=Species!$H185),"H",""))&amp;IF(Species!$I185=3,"S","")</f>
        <v/>
      </c>
      <c r="F185" s="153" t="str">
        <f aca="false">IF(Species!$G185&lt;=Species!$H185,IF(AND(4&gt;=Species!$G185,4&lt;=Species!$H185),"H",""),IF(OR(4&gt;=Species!$G185,4&lt;=Species!$H185),"H",""))&amp;IF(Species!$I185=4,"S","")</f>
        <v>H</v>
      </c>
      <c r="G185" s="153" t="str">
        <f aca="false">IF(Species!$G185&lt;=Species!$H185,IF(AND(5&gt;=Species!$G185,5&lt;=Species!$H185),"H",""),IF(OR(5&gt;=Species!$G185,5&lt;=Species!$H185),"H",""))&amp;IF(Species!$I185=5,"S","")</f>
        <v>HS</v>
      </c>
      <c r="H185" s="153" t="str">
        <f aca="false">IF(Species!$G185&lt;=Species!$H185,IF(AND(6&gt;=Species!$G185,6&lt;=Species!$H185),"H",""),IF(OR(6&gt;=Species!$G185,6&lt;=Species!$H185),"H",""))&amp;IF(Species!$I185=6,"S","")</f>
        <v>H</v>
      </c>
      <c r="I185" s="153" t="str">
        <f aca="false">IF(Species!$G185&lt;=Species!$H185,IF(AND(7&gt;=Species!$G185,7&lt;=Species!$H185),"H",""),IF(OR(7&gt;=Species!$G185,7&lt;=Species!$H185),"H",""))&amp;IF(Species!$I185=7,"S","")</f>
        <v>H</v>
      </c>
      <c r="J185" s="153" t="str">
        <f aca="false">IF(Species!$G185&lt;=Species!$H185,IF(AND(8&gt;=Species!$G185,8&lt;=Species!$H185),"H",""),IF(OR(8&gt;=Species!$G185,8&lt;=Species!$H185),"H",""))&amp;IF(Species!$I185=8,"S","")</f>
        <v>H</v>
      </c>
      <c r="K185" s="153" t="str">
        <f aca="false">IF(Species!$G185&lt;=Species!$H185,IF(AND(9&gt;=Species!$G185,9&lt;=Species!$H185),"H",""),IF(OR(9&gt;=Species!$G185,9&lt;=Species!$H185),"H",""))&amp;IF(Species!$I185=9,"S","")</f>
        <v>H</v>
      </c>
      <c r="L185" s="153" t="str">
        <f aca="false">IF(Species!$G185&lt;=Species!$H185,IF(AND(10&gt;=Species!$G185,10&lt;=Species!$H185),"H",""),IF(OR(10&gt;=Species!$G185,10&lt;=Species!$H185),"H",""))&amp;IF(Species!$I185=10,"S","")</f>
        <v>H</v>
      </c>
      <c r="M185" s="153" t="str">
        <f aca="false">IF(Species!$G185&lt;=Species!$H185,IF(AND(11&gt;=Species!$G185,11&lt;=Species!$H185),"H",""),IF(OR(11&gt;=Species!$G185,11&lt;=Species!$H185),"H",""))&amp;IF(Species!$I185=11,"S","")</f>
        <v/>
      </c>
      <c r="N185" s="153" t="str">
        <f aca="false">IF(Species!$G185&lt;=Species!$H185,IF(AND(12&gt;=Species!$G185,12&lt;=Species!$H185),"H",""),IF(OR(12&gt;=Species!$G185,12&lt;=Species!$H185),"H",""))&amp;IF(Species!$I185=12,"S","")</f>
        <v/>
      </c>
    </row>
    <row r="186" customFormat="false" ht="15" hidden="false" customHeight="false" outlineLevel="0" collapsed="false">
      <c r="A186" s="6" t="str">
        <f aca="false">Species!B186</f>
        <v>Bush Honeysuckle Berry</v>
      </c>
      <c r="B186" s="6" t="str">
        <f aca="false">Species!F186</f>
        <v>Fruit</v>
      </c>
      <c r="C186" s="153" t="str">
        <f aca="false">IF(Species!$G186&lt;=Species!$H186,IF(AND(1&gt;=Species!$G186,1&lt;=Species!$H186),"H",""),IF(OR(1&gt;=Species!$G186,1&lt;=Species!$H186),"H",""))&amp;IF(Species!$I186=1,"S","")</f>
        <v/>
      </c>
      <c r="D186" s="153" t="str">
        <f aca="false">IF(Species!$G186&lt;=Species!$H186,IF(AND(2&gt;=Species!$G186,2&lt;=Species!$H186),"H",""),IF(OR(2&gt;=Species!$G186,2&lt;=Species!$H186),"H",""))&amp;IF(Species!$I186=2,"S","")</f>
        <v/>
      </c>
      <c r="E186" s="153" t="str">
        <f aca="false">IF(Species!$G186&lt;=Species!$H186,IF(AND(3&gt;=Species!$G186,3&lt;=Species!$H186),"H",""),IF(OR(3&gt;=Species!$G186,3&lt;=Species!$H186),"H",""))&amp;IF(Species!$I186=3,"S","")</f>
        <v/>
      </c>
      <c r="F186" s="153" t="str">
        <f aca="false">IF(Species!$G186&lt;=Species!$H186,IF(AND(4&gt;=Species!$G186,4&lt;=Species!$H186),"H",""),IF(OR(4&gt;=Species!$G186,4&lt;=Species!$H186),"H",""))&amp;IF(Species!$I186=4,"S","")</f>
        <v/>
      </c>
      <c r="G186" s="153" t="str">
        <f aca="false">IF(Species!$G186&lt;=Species!$H186,IF(AND(5&gt;=Species!$G186,5&lt;=Species!$H186),"H",""),IF(OR(5&gt;=Species!$G186,5&lt;=Species!$H186),"H",""))&amp;IF(Species!$I186=5,"S","")</f>
        <v/>
      </c>
      <c r="H186" s="153" t="str">
        <f aca="false">IF(Species!$G186&lt;=Species!$H186,IF(AND(6&gt;=Species!$G186,6&lt;=Species!$H186),"H",""),IF(OR(6&gt;=Species!$G186,6&lt;=Species!$H186),"H",""))&amp;IF(Species!$I186=6,"S","")</f>
        <v/>
      </c>
      <c r="I186" s="153" t="str">
        <f aca="false">IF(Species!$G186&lt;=Species!$H186,IF(AND(7&gt;=Species!$G186,7&lt;=Species!$H186),"H",""),IF(OR(7&gt;=Species!$G186,7&lt;=Species!$H186),"H",""))&amp;IF(Species!$I186=7,"S","")</f>
        <v/>
      </c>
      <c r="J186" s="153" t="str">
        <f aca="false">IF(Species!$G186&lt;=Species!$H186,IF(AND(8&gt;=Species!$G186,8&lt;=Species!$H186),"H",""),IF(OR(8&gt;=Species!$G186,8&lt;=Species!$H186),"H",""))&amp;IF(Species!$I186=8,"S","")</f>
        <v/>
      </c>
      <c r="K186" s="153" t="str">
        <f aca="false">IF(Species!$G186&lt;=Species!$H186,IF(AND(9&gt;=Species!$G186,9&lt;=Species!$H186),"H",""),IF(OR(9&gt;=Species!$G186,9&lt;=Species!$H186),"H",""))&amp;IF(Species!$I186=9,"S","")</f>
        <v>H</v>
      </c>
      <c r="L186" s="153" t="str">
        <f aca="false">IF(Species!$G186&lt;=Species!$H186,IF(AND(10&gt;=Species!$G186,10&lt;=Species!$H186),"H",""),IF(OR(10&gt;=Species!$G186,10&lt;=Species!$H186),"H",""))&amp;IF(Species!$I186=10,"S","")</f>
        <v>H</v>
      </c>
      <c r="M186" s="153" t="str">
        <f aca="false">IF(Species!$G186&lt;=Species!$H186,IF(AND(11&gt;=Species!$G186,11&lt;=Species!$H186),"H",""),IF(OR(11&gt;=Species!$G186,11&lt;=Species!$H186),"H",""))&amp;IF(Species!$I186=11,"S","")</f>
        <v>H</v>
      </c>
      <c r="N186" s="153" t="str">
        <f aca="false">IF(Species!$G186&lt;=Species!$H186,IF(AND(12&gt;=Species!$G186,12&lt;=Species!$H186),"H",""),IF(OR(12&gt;=Species!$G186,12&lt;=Species!$H186),"H",""))&amp;IF(Species!$I186=12,"S","")</f>
        <v>H</v>
      </c>
    </row>
    <row r="188" customFormat="false" ht="15" hidden="false" customHeight="false" outlineLevel="0" collapsed="false">
      <c r="A188" s="2" t="s">
        <v>1621</v>
      </c>
      <c r="C188" s="2" t="n">
        <f aca="false">COUNTIF(C2:C186,"H*")</f>
        <v>19</v>
      </c>
      <c r="D188" s="2" t="n">
        <f aca="false">COUNTIF(D2:D186,"H*")</f>
        <v>21</v>
      </c>
      <c r="E188" s="2" t="n">
        <f aca="false">COUNTIF(E2:E186,"H*")</f>
        <v>38</v>
      </c>
      <c r="F188" s="2" t="n">
        <f aca="false">COUNTIF(F2:F186,"H*")</f>
        <v>49</v>
      </c>
      <c r="G188" s="2" t="n">
        <f aca="false">COUNTIF(G2:G186,"H*")</f>
        <v>59</v>
      </c>
      <c r="H188" s="2" t="n">
        <f aca="false">COUNTIF(H2:H186,"H*")</f>
        <v>73</v>
      </c>
      <c r="I188" s="2" t="n">
        <f aca="false">COUNTIF(I2:I186,"H*")</f>
        <v>79</v>
      </c>
      <c r="J188" s="2" t="n">
        <f aca="false">COUNTIF(J2:J186,"H*")</f>
        <v>95</v>
      </c>
      <c r="K188" s="2" t="n">
        <f aca="false">COUNTIF(K2:K186,"H*")</f>
        <v>127</v>
      </c>
      <c r="L188" s="2" t="n">
        <f aca="false">COUNTIF(L2:L186,"H*")</f>
        <v>97</v>
      </c>
      <c r="M188" s="2" t="n">
        <f aca="false">COUNTIF(M2:M186,"H*")</f>
        <v>41</v>
      </c>
      <c r="N188" s="2" t="n">
        <f aca="false">COUNTIF(N2:N186,"H*")</f>
        <v>24</v>
      </c>
    </row>
    <row r="189" customFormat="false" ht="15" hidden="false" customHeight="false" outlineLevel="0" collapsed="false">
      <c r="A189" s="6" t="s">
        <v>1622</v>
      </c>
    </row>
  </sheetData>
  <conditionalFormatting sqref="C2:N186">
    <cfRule type="expression" priority="2" aboveAverage="0" equalAverage="0" bottom="0" percent="0" rank="0" text="" dxfId="205">
      <formula>ISNUMBER(SEARCH("H",C2))</formula>
    </cfRule>
    <cfRule type="expression" priority="3" aboveAverage="0" equalAverage="0" bottom="0" percent="0" rank="0" text="" dxfId="206">
      <formula>C2="S"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2"/>
    <col collapsed="false" customWidth="true" hidden="false" outlineLevel="0" max="3" min="3" style="0" width="46"/>
    <col collapsed="false" customWidth="true" hidden="false" outlineLevel="0" max="4" min="4" style="0" width="34"/>
    <col collapsed="false" customWidth="true" hidden="false" outlineLevel="0" max="5" min="5" style="0" width="30"/>
    <col collapsed="false" customWidth="true" hidden="false" outlineLevel="0" max="6" min="6" style="0" width="9"/>
    <col collapsed="false" customWidth="true" hidden="false" outlineLevel="0" max="8" min="7" style="0" width="10"/>
  </cols>
  <sheetData>
    <row r="1" customFormat="false" ht="26.85" hidden="false" customHeight="false" outlineLevel="0" collapsed="false">
      <c r="A1" s="4" t="s">
        <v>23</v>
      </c>
      <c r="B1" s="4" t="s">
        <v>1623</v>
      </c>
      <c r="C1" s="4" t="s">
        <v>1624</v>
      </c>
      <c r="D1" s="4" t="s">
        <v>1625</v>
      </c>
      <c r="E1" s="4" t="s">
        <v>1626</v>
      </c>
      <c r="F1" s="4" t="s">
        <v>1627</v>
      </c>
      <c r="G1" s="4" t="s">
        <v>1628</v>
      </c>
      <c r="H1" s="4" t="s">
        <v>1629</v>
      </c>
    </row>
    <row r="2" customFormat="false" ht="23.85" hidden="false" customHeight="false" outlineLevel="0" collapsed="false">
      <c r="A2" s="151" t="s">
        <v>46</v>
      </c>
      <c r="B2" s="151" t="s">
        <v>1630</v>
      </c>
      <c r="C2" s="151" t="s">
        <v>1631</v>
      </c>
      <c r="D2" s="151" t="s">
        <v>1632</v>
      </c>
      <c r="E2" s="151" t="s">
        <v>1633</v>
      </c>
      <c r="F2" s="6" t="n">
        <f aca="false">COUNTIF(Species!$E$2:$E$186,A2)</f>
        <v>34</v>
      </c>
      <c r="G2" s="6" t="n">
        <f aca="false">COUNTIFS(Species!$E$2:$E$186,A2,Species!$D$2:$D$186,"Rare Active")</f>
        <v>0</v>
      </c>
      <c r="H2" s="152" t="n">
        <f aca="false">IFERROR(AVERAGEIF(Species!$E$2:$E$186,A2,Species!$P$2:$P$186),0)</f>
        <v>1.47058823529412</v>
      </c>
    </row>
    <row r="3" customFormat="false" ht="23.85" hidden="false" customHeight="false" outlineLevel="0" collapsed="false">
      <c r="A3" s="151" t="s">
        <v>107</v>
      </c>
      <c r="B3" s="151" t="s">
        <v>1634</v>
      </c>
      <c r="C3" s="151" t="s">
        <v>1635</v>
      </c>
      <c r="D3" s="151" t="s">
        <v>1636</v>
      </c>
      <c r="E3" s="151" t="s">
        <v>1637</v>
      </c>
      <c r="F3" s="6" t="n">
        <f aca="false">COUNTIF(Species!$E$2:$E$186,A3)</f>
        <v>30</v>
      </c>
      <c r="G3" s="6" t="n">
        <f aca="false">COUNTIFS(Species!$E$2:$E$186,A3,Species!$D$2:$D$186,"Rare Active")</f>
        <v>2</v>
      </c>
      <c r="H3" s="152" t="n">
        <f aca="false">IFERROR(AVERAGEIF(Species!$E$2:$E$186,A3,Species!$P$2:$P$186),0)</f>
        <v>0.366666666666667</v>
      </c>
    </row>
    <row r="4" customFormat="false" ht="15" hidden="false" customHeight="false" outlineLevel="0" collapsed="false">
      <c r="A4" s="151" t="s">
        <v>146</v>
      </c>
      <c r="B4" s="151" t="s">
        <v>1638</v>
      </c>
      <c r="C4" s="151" t="s">
        <v>1639</v>
      </c>
      <c r="D4" s="151" t="s">
        <v>1640</v>
      </c>
      <c r="E4" s="151" t="s">
        <v>1641</v>
      </c>
      <c r="F4" s="6" t="n">
        <f aca="false">COUNTIF(Species!$E$2:$E$186,A4)</f>
        <v>11</v>
      </c>
      <c r="G4" s="6" t="n">
        <f aca="false">COUNTIFS(Species!$E$2:$E$186,A4,Species!$D$2:$D$186,"Rare Active")</f>
        <v>0</v>
      </c>
      <c r="H4" s="152" t="n">
        <f aca="false">IFERROR(AVERAGEIF(Species!$E$2:$E$186,A4,Species!$P$2:$P$186),0)</f>
        <v>1</v>
      </c>
    </row>
    <row r="5" customFormat="false" ht="23.85" hidden="false" customHeight="false" outlineLevel="0" collapsed="false">
      <c r="A5" s="151" t="s">
        <v>86</v>
      </c>
      <c r="B5" s="151" t="s">
        <v>1642</v>
      </c>
      <c r="C5" s="151" t="s">
        <v>1643</v>
      </c>
      <c r="D5" s="151" t="s">
        <v>1644</v>
      </c>
      <c r="E5" s="151" t="s">
        <v>1645</v>
      </c>
      <c r="F5" s="6" t="n">
        <f aca="false">COUNTIF(Species!$E$2:$E$186,A5)</f>
        <v>39</v>
      </c>
      <c r="G5" s="6" t="n">
        <f aca="false">COUNTIFS(Species!$E$2:$E$186,A5,Species!$D$2:$D$186,"Rare Active")</f>
        <v>5</v>
      </c>
      <c r="H5" s="152" t="n">
        <f aca="false">IFERROR(AVERAGEIF(Species!$E$2:$E$186,A5,Species!$P$2:$P$186),0)</f>
        <v>1.82051282051282</v>
      </c>
    </row>
    <row r="6" customFormat="false" ht="15" hidden="false" customHeight="false" outlineLevel="0" collapsed="false">
      <c r="A6" s="151" t="s">
        <v>93</v>
      </c>
      <c r="B6" s="151" t="s">
        <v>1646</v>
      </c>
      <c r="C6" s="151" t="s">
        <v>1647</v>
      </c>
      <c r="D6" s="151" t="s">
        <v>1648</v>
      </c>
      <c r="E6" s="151" t="s">
        <v>1649</v>
      </c>
      <c r="F6" s="6" t="n">
        <f aca="false">COUNTIF(Species!$E$2:$E$186,A6)</f>
        <v>14</v>
      </c>
      <c r="G6" s="6" t="n">
        <f aca="false">COUNTIFS(Species!$E$2:$E$186,A6,Species!$D$2:$D$186,"Rare Active")</f>
        <v>1</v>
      </c>
      <c r="H6" s="152" t="n">
        <f aca="false">IFERROR(AVERAGEIF(Species!$E$2:$E$186,A6,Species!$P$2:$P$186),0)</f>
        <v>1.5</v>
      </c>
    </row>
    <row r="7" customFormat="false" ht="15" hidden="false" customHeight="false" outlineLevel="0" collapsed="false">
      <c r="A7" s="151" t="s">
        <v>139</v>
      </c>
      <c r="B7" s="151" t="s">
        <v>1650</v>
      </c>
      <c r="C7" s="151" t="s">
        <v>1651</v>
      </c>
      <c r="D7" s="151" t="s">
        <v>1652</v>
      </c>
      <c r="E7" s="151" t="s">
        <v>1653</v>
      </c>
      <c r="F7" s="6" t="n">
        <f aca="false">COUNTIF(Species!$E$2:$E$186,A7)</f>
        <v>14</v>
      </c>
      <c r="G7" s="6" t="n">
        <f aca="false">COUNTIFS(Species!$E$2:$E$186,A7,Species!$D$2:$D$186,"Rare Active")</f>
        <v>0</v>
      </c>
      <c r="H7" s="152" t="n">
        <f aca="false">IFERROR(AVERAGEIF(Species!$E$2:$E$186,A7,Species!$P$2:$P$186),0)</f>
        <v>2.35714285714286</v>
      </c>
    </row>
    <row r="8" customFormat="false" ht="23.85" hidden="false" customHeight="false" outlineLevel="0" collapsed="false">
      <c r="A8" s="151" t="s">
        <v>214</v>
      </c>
      <c r="B8" s="151" t="s">
        <v>1654</v>
      </c>
      <c r="C8" s="151" t="s">
        <v>1655</v>
      </c>
      <c r="D8" s="151" t="s">
        <v>1656</v>
      </c>
      <c r="E8" s="151" t="s">
        <v>1657</v>
      </c>
      <c r="F8" s="6" t="n">
        <f aca="false">COUNTIF(Species!$E$2:$E$186,A8)</f>
        <v>15</v>
      </c>
      <c r="G8" s="6" t="n">
        <f aca="false">COUNTIFS(Species!$E$2:$E$186,A8,Species!$D$2:$D$186,"Rare Active")</f>
        <v>0</v>
      </c>
      <c r="H8" s="152" t="n">
        <f aca="false">IFERROR(AVERAGEIF(Species!$E$2:$E$186,A8,Species!$P$2:$P$186),0)</f>
        <v>1.66666666666667</v>
      </c>
    </row>
    <row r="9" customFormat="false" ht="15" hidden="false" customHeight="false" outlineLevel="0" collapsed="false">
      <c r="A9" s="151" t="s">
        <v>601</v>
      </c>
      <c r="B9" s="151" t="s">
        <v>1658</v>
      </c>
      <c r="C9" s="151" t="s">
        <v>1659</v>
      </c>
      <c r="D9" s="151" t="s">
        <v>1660</v>
      </c>
      <c r="E9" s="151" t="s">
        <v>1661</v>
      </c>
      <c r="F9" s="6" t="n">
        <f aca="false">COUNTIF(Species!$E$2:$E$186,A9)</f>
        <v>9</v>
      </c>
      <c r="G9" s="6" t="n">
        <f aca="false">COUNTIFS(Species!$E$2:$E$186,A9,Species!$D$2:$D$186,"Rare Active")</f>
        <v>1</v>
      </c>
      <c r="H9" s="152" t="n">
        <f aca="false">IFERROR(AVERAGEIF(Species!$E$2:$E$186,A9,Species!$P$2:$P$186),0)</f>
        <v>1.11111111111111</v>
      </c>
    </row>
    <row r="10" customFormat="false" ht="15" hidden="false" customHeight="false" outlineLevel="0" collapsed="false">
      <c r="A10" s="151" t="s">
        <v>541</v>
      </c>
      <c r="B10" s="151" t="s">
        <v>1662</v>
      </c>
      <c r="C10" s="151" t="s">
        <v>1663</v>
      </c>
      <c r="D10" s="151" t="s">
        <v>1664</v>
      </c>
      <c r="E10" s="151" t="s">
        <v>1665</v>
      </c>
      <c r="F10" s="6" t="n">
        <f aca="false">COUNTIF(Species!$E$2:$E$186,A10)</f>
        <v>14</v>
      </c>
      <c r="G10" s="6" t="n">
        <f aca="false">COUNTIFS(Species!$E$2:$E$186,A10,Species!$D$2:$D$186,"Rare Active")</f>
        <v>0</v>
      </c>
      <c r="H10" s="152" t="n">
        <f aca="false">IFERROR(AVERAGEIF(Species!$E$2:$E$186,A10,Species!$P$2:$P$186),0)</f>
        <v>1.5</v>
      </c>
    </row>
    <row r="11" customFormat="false" ht="23.85" hidden="false" customHeight="false" outlineLevel="0" collapsed="false">
      <c r="A11" s="151" t="s">
        <v>909</v>
      </c>
      <c r="B11" s="151" t="s">
        <v>1666</v>
      </c>
      <c r="C11" s="151" t="s">
        <v>1667</v>
      </c>
      <c r="D11" s="151" t="s">
        <v>1668</v>
      </c>
      <c r="E11" s="151" t="s">
        <v>1669</v>
      </c>
      <c r="F11" s="6" t="n">
        <f aca="false">COUNTIF(Species!$E$2:$E$186,A11)</f>
        <v>5</v>
      </c>
      <c r="G11" s="6" t="n">
        <f aca="false">COUNTIFS(Species!$E$2:$E$186,A11,Species!$D$2:$D$186,"Rare Active")</f>
        <v>5</v>
      </c>
      <c r="H11" s="152" t="n">
        <f aca="false">IFERROR(AVERAGEIF(Species!$E$2:$E$186,A11,Species!$P$2:$P$186),0)</f>
        <v>1.6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6" min="5" style="0" width="40"/>
  </cols>
  <sheetData>
    <row r="1" customFormat="false" ht="15" hidden="false" customHeight="false" outlineLevel="0" collapsed="false">
      <c r="A1" s="4" t="s">
        <v>1670</v>
      </c>
      <c r="B1" s="4" t="s">
        <v>1671</v>
      </c>
      <c r="C1" s="4" t="s">
        <v>1672</v>
      </c>
      <c r="D1" s="4" t="s">
        <v>1673</v>
      </c>
      <c r="E1" s="4" t="s">
        <v>1674</v>
      </c>
      <c r="F1" s="4" t="s">
        <v>1675</v>
      </c>
    </row>
    <row r="2" customFormat="false" ht="15" hidden="false" customHeight="false" outlineLevel="0" collapsed="false">
      <c r="A2" s="151" t="s">
        <v>304</v>
      </c>
      <c r="B2" s="151" t="s">
        <v>1676</v>
      </c>
      <c r="C2" s="151" t="s">
        <v>1677</v>
      </c>
      <c r="D2" s="151" t="s">
        <v>1678</v>
      </c>
      <c r="E2" s="151" t="s">
        <v>1679</v>
      </c>
      <c r="F2" s="151" t="s">
        <v>1680</v>
      </c>
    </row>
    <row r="3" customFormat="false" ht="15" hidden="false" customHeight="false" outlineLevel="0" collapsed="false">
      <c r="A3" s="151" t="s">
        <v>1681</v>
      </c>
      <c r="B3" s="151" t="s">
        <v>1676</v>
      </c>
      <c r="C3" s="151" t="s">
        <v>1682</v>
      </c>
      <c r="D3" s="151" t="s">
        <v>1683</v>
      </c>
      <c r="E3" s="151" t="s">
        <v>1684</v>
      </c>
      <c r="F3" s="151" t="s">
        <v>1685</v>
      </c>
    </row>
    <row r="4" customFormat="false" ht="15" hidden="false" customHeight="false" outlineLevel="0" collapsed="false">
      <c r="A4" s="151" t="s">
        <v>1686</v>
      </c>
      <c r="B4" s="151" t="s">
        <v>1676</v>
      </c>
      <c r="C4" s="151" t="s">
        <v>1687</v>
      </c>
      <c r="D4" s="151" t="s">
        <v>1688</v>
      </c>
      <c r="E4" s="151" t="s">
        <v>1689</v>
      </c>
      <c r="F4" s="151" t="s">
        <v>1685</v>
      </c>
    </row>
    <row r="5" customFormat="false" ht="15" hidden="false" customHeight="false" outlineLevel="0" collapsed="false">
      <c r="A5" s="151" t="s">
        <v>1690</v>
      </c>
      <c r="B5" s="151" t="s">
        <v>1691</v>
      </c>
      <c r="C5" s="151" t="s">
        <v>1692</v>
      </c>
      <c r="D5" s="151" t="s">
        <v>1693</v>
      </c>
      <c r="E5" s="151" t="s">
        <v>1694</v>
      </c>
      <c r="F5" s="151" t="s">
        <v>1695</v>
      </c>
    </row>
    <row r="6" customFormat="false" ht="15" hidden="false" customHeight="false" outlineLevel="0" collapsed="false">
      <c r="A6" s="151" t="s">
        <v>1696</v>
      </c>
      <c r="B6" s="151" t="s">
        <v>1697</v>
      </c>
      <c r="C6" s="151" t="s">
        <v>1698</v>
      </c>
      <c r="D6" s="151" t="s">
        <v>1699</v>
      </c>
      <c r="E6" s="151" t="s">
        <v>1700</v>
      </c>
      <c r="F6" s="151" t="s">
        <v>1685</v>
      </c>
    </row>
    <row r="7" customFormat="false" ht="15" hidden="false" customHeight="false" outlineLevel="0" collapsed="false">
      <c r="A7" s="151" t="s">
        <v>1701</v>
      </c>
      <c r="B7" s="151" t="s">
        <v>1702</v>
      </c>
      <c r="C7" s="151" t="s">
        <v>1703</v>
      </c>
      <c r="D7" s="151" t="s">
        <v>1416</v>
      </c>
      <c r="E7" s="151" t="s">
        <v>1704</v>
      </c>
      <c r="F7" s="151" t="s">
        <v>1685</v>
      </c>
    </row>
    <row r="8" customFormat="false" ht="15" hidden="false" customHeight="false" outlineLevel="0" collapsed="false">
      <c r="A8" s="151" t="s">
        <v>1705</v>
      </c>
      <c r="B8" s="151" t="s">
        <v>1706</v>
      </c>
      <c r="C8" s="151" t="s">
        <v>1707</v>
      </c>
      <c r="D8" s="151" t="s">
        <v>1708</v>
      </c>
      <c r="E8" s="151" t="s">
        <v>1709</v>
      </c>
      <c r="F8" s="151" t="s">
        <v>1710</v>
      </c>
    </row>
    <row r="9" customFormat="false" ht="15" hidden="false" customHeight="false" outlineLevel="0" collapsed="false">
      <c r="A9" s="151" t="s">
        <v>1711</v>
      </c>
      <c r="B9" s="151" t="s">
        <v>1712</v>
      </c>
      <c r="C9" s="151" t="s">
        <v>1713</v>
      </c>
      <c r="D9" s="151" t="s">
        <v>1416</v>
      </c>
      <c r="E9" s="151" t="s">
        <v>1714</v>
      </c>
      <c r="F9" s="151" t="s">
        <v>1715</v>
      </c>
    </row>
    <row r="10" customFormat="false" ht="15" hidden="false" customHeight="false" outlineLevel="0" collapsed="false">
      <c r="A10" s="151" t="s">
        <v>1716</v>
      </c>
      <c r="B10" s="151" t="s">
        <v>1717</v>
      </c>
      <c r="C10" s="151" t="s">
        <v>1718</v>
      </c>
      <c r="D10" s="151" t="s">
        <v>1719</v>
      </c>
      <c r="E10" s="151" t="s">
        <v>1720</v>
      </c>
      <c r="F10" s="151" t="s">
        <v>1721</v>
      </c>
    </row>
    <row r="11" customFormat="false" ht="23.85" hidden="false" customHeight="false" outlineLevel="0" collapsed="false">
      <c r="A11" s="151" t="s">
        <v>1722</v>
      </c>
      <c r="B11" s="151" t="s">
        <v>1723</v>
      </c>
      <c r="C11" s="151" t="s">
        <v>1724</v>
      </c>
      <c r="D11" s="151" t="s">
        <v>1725</v>
      </c>
      <c r="E11" s="151" t="s">
        <v>1726</v>
      </c>
      <c r="F11" s="151" t="s">
        <v>1727</v>
      </c>
    </row>
    <row r="12" customFormat="false" ht="15" hidden="false" customHeight="false" outlineLevel="0" collapsed="false">
      <c r="A12" s="151" t="s">
        <v>1728</v>
      </c>
      <c r="B12" s="151" t="s">
        <v>1729</v>
      </c>
      <c r="C12" s="151" t="s">
        <v>1730</v>
      </c>
      <c r="D12" s="151" t="s">
        <v>1731</v>
      </c>
      <c r="E12" s="151" t="s">
        <v>1732</v>
      </c>
      <c r="F12" s="151" t="s">
        <v>1733</v>
      </c>
    </row>
    <row r="13" customFormat="false" ht="15" hidden="false" customHeight="false" outlineLevel="0" collapsed="false">
      <c r="A13" s="151" t="s">
        <v>1734</v>
      </c>
      <c r="B13" s="151" t="s">
        <v>1735</v>
      </c>
      <c r="C13" s="151" t="s">
        <v>1736</v>
      </c>
      <c r="D13" s="151" t="s">
        <v>1416</v>
      </c>
      <c r="E13" s="151" t="s">
        <v>1737</v>
      </c>
      <c r="F13" s="151" t="s">
        <v>1715</v>
      </c>
    </row>
    <row r="14" customFormat="false" ht="15" hidden="false" customHeight="false" outlineLevel="0" collapsed="false">
      <c r="A14" s="151" t="s">
        <v>1738</v>
      </c>
      <c r="B14" s="151" t="s">
        <v>1739</v>
      </c>
      <c r="C14" s="151" t="s">
        <v>1740</v>
      </c>
      <c r="D14" s="151" t="s">
        <v>1741</v>
      </c>
      <c r="E14" s="151" t="s">
        <v>1742</v>
      </c>
      <c r="F14" s="151" t="s">
        <v>1743</v>
      </c>
    </row>
    <row r="15" customFormat="false" ht="15" hidden="false" customHeight="false" outlineLevel="0" collapsed="false">
      <c r="A15" s="151" t="s">
        <v>1744</v>
      </c>
      <c r="B15" s="151" t="s">
        <v>1745</v>
      </c>
      <c r="C15" s="151" t="s">
        <v>1746</v>
      </c>
      <c r="D15" s="151" t="s">
        <v>1747</v>
      </c>
      <c r="E15" s="151" t="s">
        <v>1748</v>
      </c>
      <c r="F15" s="151" t="s">
        <v>1685</v>
      </c>
    </row>
    <row r="16" customFormat="false" ht="15" hidden="false" customHeight="false" outlineLevel="0" collapsed="false">
      <c r="A16" s="151" t="s">
        <v>1749</v>
      </c>
      <c r="B16" s="151" t="s">
        <v>1750</v>
      </c>
      <c r="C16" s="151" t="s">
        <v>1751</v>
      </c>
      <c r="D16" s="151" t="s">
        <v>1752</v>
      </c>
      <c r="E16" s="151" t="s">
        <v>1753</v>
      </c>
      <c r="F16" s="151" t="s">
        <v>1685</v>
      </c>
    </row>
    <row r="17" customFormat="false" ht="15" hidden="false" customHeight="false" outlineLevel="0" collapsed="false">
      <c r="A17" s="151" t="s">
        <v>1754</v>
      </c>
      <c r="B17" s="151" t="s">
        <v>1755</v>
      </c>
      <c r="C17" s="151" t="s">
        <v>1756</v>
      </c>
      <c r="D17" s="151" t="s">
        <v>1699</v>
      </c>
      <c r="E17" s="151" t="s">
        <v>1757</v>
      </c>
      <c r="F17" s="151" t="s">
        <v>1758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0"/>
    <col collapsed="false" customWidth="true" hidden="false" outlineLevel="0" max="5" min="5" style="0" width="18"/>
    <col collapsed="false" customWidth="true" hidden="false" outlineLevel="0" max="6" min="6" style="0" width="46"/>
    <col collapsed="false" customWidth="true" hidden="false" outlineLevel="0" max="7" min="7" style="0" width="32"/>
    <col collapsed="false" customWidth="true" hidden="false" outlineLevel="0" max="10" min="8" style="0" width="12"/>
    <col collapsed="false" customWidth="true" hidden="false" outlineLevel="0" max="12" min="12" style="0" width="14"/>
    <col collapsed="false" customWidth="true" hidden="false" outlineLevel="0" max="13" min="13" style="0" width="10"/>
  </cols>
  <sheetData>
    <row r="1" customFormat="false" ht="26.85" hidden="false" customHeight="false" outlineLevel="0" collapsed="false">
      <c r="A1" s="4" t="s">
        <v>1759</v>
      </c>
      <c r="B1" s="4" t="s">
        <v>1760</v>
      </c>
      <c r="C1" s="4" t="s">
        <v>1761</v>
      </c>
      <c r="D1" s="4" t="s">
        <v>1762</v>
      </c>
      <c r="E1" s="4" t="s">
        <v>1481</v>
      </c>
      <c r="F1" s="4" t="s">
        <v>1763</v>
      </c>
      <c r="G1" s="4" t="s">
        <v>1764</v>
      </c>
      <c r="H1" s="4" t="s">
        <v>1765</v>
      </c>
      <c r="I1" s="4" t="s">
        <v>1766</v>
      </c>
      <c r="J1" s="4" t="s">
        <v>1767</v>
      </c>
      <c r="L1" s="5" t="s">
        <v>1765</v>
      </c>
      <c r="M1" s="5" t="s">
        <v>1768</v>
      </c>
    </row>
    <row r="2" customFormat="false" ht="15" hidden="false" customHeight="false" outlineLevel="0" collapsed="false">
      <c r="A2" s="151" t="s">
        <v>1769</v>
      </c>
      <c r="B2" s="151" t="s">
        <v>75</v>
      </c>
      <c r="C2" s="151" t="s">
        <v>278</v>
      </c>
      <c r="D2" s="151" t="s">
        <v>797</v>
      </c>
      <c r="E2" s="151" t="s">
        <v>1523</v>
      </c>
      <c r="F2" s="151" t="s">
        <v>1770</v>
      </c>
      <c r="G2" s="151" t="s">
        <v>1771</v>
      </c>
      <c r="H2" s="151" t="s">
        <v>1772</v>
      </c>
      <c r="I2" s="6" t="n">
        <f aca="false">IFERROR(INDEX(Species!$U$2:$U$186,MATCH(B2,Species!$B$2:$B$186,0)),0)+IFERROR(INDEX(Species!$U$2:$U$186,MATCH(C2,Species!$B$2:$B$186,0)),0)+IFERROR(INDEX(Species!$U$2:$U$186,MATCH(D2,Species!$B$2:$B$186,0)),0)</f>
        <v>35</v>
      </c>
      <c r="J2" s="6" t="n">
        <f aca="false">ROUND(I2*INDEX($M$3:$M$7,MATCH(H2,$L$3:$L$7,0)),0)</f>
        <v>53</v>
      </c>
    </row>
    <row r="3" customFormat="false" ht="15" hidden="false" customHeight="false" outlineLevel="0" collapsed="false">
      <c r="A3" s="151" t="s">
        <v>1773</v>
      </c>
      <c r="B3" s="151" t="s">
        <v>778</v>
      </c>
      <c r="C3" s="151" t="s">
        <v>534</v>
      </c>
      <c r="D3" s="151" t="s">
        <v>732</v>
      </c>
      <c r="E3" s="151" t="s">
        <v>1516</v>
      </c>
      <c r="F3" s="151" t="s">
        <v>1774</v>
      </c>
      <c r="G3" s="151" t="s">
        <v>1775</v>
      </c>
      <c r="H3" s="151" t="s">
        <v>1772</v>
      </c>
      <c r="I3" s="6" t="n">
        <f aca="false">IFERROR(INDEX(Species!$U$2:$U$186,MATCH(B3,Species!$B$2:$B$186,0)),0)+IFERROR(INDEX(Species!$U$2:$U$186,MATCH(C3,Species!$B$2:$B$186,0)),0)+IFERROR(INDEX(Species!$U$2:$U$186,MATCH(D3,Species!$B$2:$B$186,0)),0)</f>
        <v>68</v>
      </c>
      <c r="J3" s="6" t="n">
        <f aca="false">ROUND(I3*INDEX($M$3:$M$7,MATCH(H3,$L$3:$L$7,0)),0)</f>
        <v>102</v>
      </c>
      <c r="L3" s="6" t="s">
        <v>1772</v>
      </c>
      <c r="M3" s="7" t="n">
        <v>1.5</v>
      </c>
    </row>
    <row r="4" customFormat="false" ht="15" hidden="false" customHeight="false" outlineLevel="0" collapsed="false">
      <c r="A4" s="151" t="s">
        <v>1776</v>
      </c>
      <c r="B4" s="151" t="s">
        <v>565</v>
      </c>
      <c r="C4" s="151" t="s">
        <v>515</v>
      </c>
      <c r="D4" s="151" t="s">
        <v>462</v>
      </c>
      <c r="E4" s="151" t="s">
        <v>1516</v>
      </c>
      <c r="F4" s="151" t="s">
        <v>1777</v>
      </c>
      <c r="G4" s="151" t="s">
        <v>1778</v>
      </c>
      <c r="H4" s="151" t="s">
        <v>1779</v>
      </c>
      <c r="I4" s="6" t="n">
        <f aca="false">IFERROR(INDEX(Species!$U$2:$U$186,MATCH(B4,Species!$B$2:$B$186,0)),0)+IFERROR(INDEX(Species!$U$2:$U$186,MATCH(C4,Species!$B$2:$B$186,0)),0)+IFERROR(INDEX(Species!$U$2:$U$186,MATCH(D4,Species!$B$2:$B$186,0)),0)</f>
        <v>80</v>
      </c>
      <c r="J4" s="6" t="n">
        <f aca="false">ROUND(I4*INDEX($M$3:$M$7,MATCH(H4,$L$3:$L$7,0)),0)</f>
        <v>160</v>
      </c>
      <c r="L4" s="6" t="s">
        <v>1779</v>
      </c>
      <c r="M4" s="7" t="n">
        <v>2</v>
      </c>
    </row>
    <row r="5" customFormat="false" ht="15" hidden="false" customHeight="false" outlineLevel="0" collapsed="false">
      <c r="A5" s="151" t="s">
        <v>1780</v>
      </c>
      <c r="B5" s="151" t="s">
        <v>511</v>
      </c>
      <c r="C5" s="151" t="s">
        <v>137</v>
      </c>
      <c r="D5" s="151" t="s">
        <v>526</v>
      </c>
      <c r="E5" s="151" t="s">
        <v>1558</v>
      </c>
      <c r="F5" s="151" t="s">
        <v>1781</v>
      </c>
      <c r="G5" s="151" t="s">
        <v>1782</v>
      </c>
      <c r="H5" s="151" t="s">
        <v>1779</v>
      </c>
      <c r="I5" s="6" t="n">
        <f aca="false">IFERROR(INDEX(Species!$U$2:$U$186,MATCH(B5,Species!$B$2:$B$186,0)),0)+IFERROR(INDEX(Species!$U$2:$U$186,MATCH(C5,Species!$B$2:$B$186,0)),0)+IFERROR(INDEX(Species!$U$2:$U$186,MATCH(D5,Species!$B$2:$B$186,0)),0)</f>
        <v>55</v>
      </c>
      <c r="J5" s="6" t="n">
        <f aca="false">ROUND(I5*INDEX($M$3:$M$7,MATCH(H5,$L$3:$L$7,0)),0)</f>
        <v>110</v>
      </c>
      <c r="L5" s="6" t="s">
        <v>1783</v>
      </c>
      <c r="M5" s="7" t="n">
        <v>3</v>
      </c>
    </row>
    <row r="6" customFormat="false" ht="15" hidden="false" customHeight="false" outlineLevel="0" collapsed="false">
      <c r="A6" s="151" t="s">
        <v>1784</v>
      </c>
      <c r="B6" s="151" t="s">
        <v>307</v>
      </c>
      <c r="C6" s="151" t="s">
        <v>551</v>
      </c>
      <c r="D6" s="151" t="s">
        <v>773</v>
      </c>
      <c r="E6" s="151" t="s">
        <v>1551</v>
      </c>
      <c r="F6" s="151" t="s">
        <v>1785</v>
      </c>
      <c r="G6" s="151" t="s">
        <v>1786</v>
      </c>
      <c r="H6" s="151" t="s">
        <v>1779</v>
      </c>
      <c r="I6" s="6" t="n">
        <f aca="false">IFERROR(INDEX(Species!$U$2:$U$186,MATCH(B6,Species!$B$2:$B$186,0)),0)+IFERROR(INDEX(Species!$U$2:$U$186,MATCH(C6,Species!$B$2:$B$186,0)),0)+IFERROR(INDEX(Species!$U$2:$U$186,MATCH(D6,Species!$B$2:$B$186,0)),0)</f>
        <v>25</v>
      </c>
      <c r="J6" s="6" t="n">
        <f aca="false">ROUND(I6*INDEX($M$3:$M$7,MATCH(H6,$L$3:$L$7,0)),0)</f>
        <v>50</v>
      </c>
      <c r="L6" s="6" t="s">
        <v>1787</v>
      </c>
      <c r="M6" s="7" t="n">
        <v>4</v>
      </c>
    </row>
    <row r="7" customFormat="false" ht="23.85" hidden="false" customHeight="false" outlineLevel="0" collapsed="false">
      <c r="A7" s="151" t="s">
        <v>1788</v>
      </c>
      <c r="B7" s="151" t="s">
        <v>473</v>
      </c>
      <c r="C7" s="151" t="s">
        <v>298</v>
      </c>
      <c r="D7" s="151" t="s">
        <v>483</v>
      </c>
      <c r="E7" s="151" t="s">
        <v>1509</v>
      </c>
      <c r="F7" s="151" t="s">
        <v>1789</v>
      </c>
      <c r="G7" s="151" t="s">
        <v>1790</v>
      </c>
      <c r="H7" s="151" t="s">
        <v>1783</v>
      </c>
      <c r="I7" s="6" t="n">
        <f aca="false">IFERROR(INDEX(Species!$U$2:$U$186,MATCH(B7,Species!$B$2:$B$186,0)),0)+IFERROR(INDEX(Species!$U$2:$U$186,MATCH(C7,Species!$B$2:$B$186,0)),0)+IFERROR(INDEX(Species!$U$2:$U$186,MATCH(D7,Species!$B$2:$B$186,0)),0)</f>
        <v>117</v>
      </c>
      <c r="J7" s="6" t="n">
        <f aca="false">ROUND(I7*INDEX($M$3:$M$7,MATCH(H7,$L$3:$L$7,0)),0)</f>
        <v>351</v>
      </c>
      <c r="L7" s="6" t="s">
        <v>1791</v>
      </c>
      <c r="M7" s="7" t="n">
        <v>8</v>
      </c>
    </row>
    <row r="8" customFormat="false" ht="15" hidden="false" customHeight="false" outlineLevel="0" collapsed="false">
      <c r="A8" s="151" t="s">
        <v>1792</v>
      </c>
      <c r="B8" s="151" t="s">
        <v>556</v>
      </c>
      <c r="C8" s="151" t="s">
        <v>546</v>
      </c>
      <c r="D8" s="151" t="s">
        <v>370</v>
      </c>
      <c r="E8" s="151" t="s">
        <v>1530</v>
      </c>
      <c r="F8" s="151" t="s">
        <v>1793</v>
      </c>
      <c r="G8" s="151" t="s">
        <v>1794</v>
      </c>
      <c r="H8" s="151" t="s">
        <v>1783</v>
      </c>
      <c r="I8" s="6" t="n">
        <f aca="false">IFERROR(INDEX(Species!$U$2:$U$186,MATCH(B8,Species!$B$2:$B$186,0)),0)+IFERROR(INDEX(Species!$U$2:$U$186,MATCH(C8,Species!$B$2:$B$186,0)),0)+IFERROR(INDEX(Species!$U$2:$U$186,MATCH(D8,Species!$B$2:$B$186,0)),0)</f>
        <v>54</v>
      </c>
      <c r="J8" s="6" t="n">
        <f aca="false">ROUND(I8*INDEX($M$3:$M$7,MATCH(H8,$L$3:$L$7,0)),0)</f>
        <v>162</v>
      </c>
    </row>
    <row r="9" customFormat="false" ht="15" hidden="false" customHeight="true" outlineLevel="0" collapsed="false">
      <c r="A9" s="151" t="s">
        <v>1795</v>
      </c>
      <c r="B9" s="151" t="s">
        <v>348</v>
      </c>
      <c r="C9" s="151" t="s">
        <v>397</v>
      </c>
      <c r="D9" s="151" t="s">
        <v>515</v>
      </c>
      <c r="E9" s="151" t="s">
        <v>1530</v>
      </c>
      <c r="F9" s="151" t="s">
        <v>1796</v>
      </c>
      <c r="G9" s="151" t="s">
        <v>1797</v>
      </c>
      <c r="H9" s="151" t="s">
        <v>1787</v>
      </c>
      <c r="I9" s="6" t="n">
        <f aca="false">IFERROR(INDEX(Species!$U$2:$U$186,MATCH(B9,Species!$B$2:$B$186,0)),0)+IFERROR(INDEX(Species!$U$2:$U$186,MATCH(C9,Species!$B$2:$B$186,0)),0)+IFERROR(INDEX(Species!$U$2:$U$186,MATCH(D9,Species!$B$2:$B$186,0)),0)</f>
        <v>370</v>
      </c>
      <c r="J9" s="6" t="n">
        <f aca="false">ROUND(I9*INDEX($M$3:$M$7,MATCH(H9,$L$3:$L$7,0)),0)</f>
        <v>1480</v>
      </c>
      <c r="L9" s="154" t="s">
        <v>1798</v>
      </c>
      <c r="M9" s="154"/>
    </row>
    <row r="10" customFormat="false" ht="15" hidden="false" customHeight="false" outlineLevel="0" collapsed="false">
      <c r="A10" s="151" t="s">
        <v>1799</v>
      </c>
      <c r="B10" s="151" t="s">
        <v>846</v>
      </c>
      <c r="C10" s="151" t="s">
        <v>479</v>
      </c>
      <c r="D10" s="151" t="s">
        <v>358</v>
      </c>
      <c r="E10" s="151" t="s">
        <v>1544</v>
      </c>
      <c r="F10" s="151" t="s">
        <v>1800</v>
      </c>
      <c r="G10" s="151" t="s">
        <v>1801</v>
      </c>
      <c r="H10" s="151" t="s">
        <v>1783</v>
      </c>
      <c r="I10" s="6" t="n">
        <f aca="false">IFERROR(INDEX(Species!$U$2:$U$186,MATCH(B10,Species!$B$2:$B$186,0)),0)+IFERROR(INDEX(Species!$U$2:$U$186,MATCH(C10,Species!$B$2:$B$186,0)),0)+IFERROR(INDEX(Species!$U$2:$U$186,MATCH(D10,Species!$B$2:$B$186,0)),0)</f>
        <v>98</v>
      </c>
      <c r="J10" s="6" t="n">
        <f aca="false">ROUND(I10*INDEX($M$3:$M$7,MATCH(H10,$L$3:$L$7,0)),0)</f>
        <v>294</v>
      </c>
      <c r="L10" s="154"/>
      <c r="M10" s="154"/>
    </row>
    <row r="11" customFormat="false" ht="15" hidden="false" customHeight="false" outlineLevel="0" collapsed="false">
      <c r="A11" s="151" t="s">
        <v>1802</v>
      </c>
      <c r="B11" s="151" t="s">
        <v>907</v>
      </c>
      <c r="C11" s="151" t="s">
        <v>611</v>
      </c>
      <c r="D11" s="151" t="s">
        <v>307</v>
      </c>
      <c r="E11" s="151" t="s">
        <v>1586</v>
      </c>
      <c r="F11" s="151" t="s">
        <v>1803</v>
      </c>
      <c r="G11" s="151" t="s">
        <v>1804</v>
      </c>
      <c r="H11" s="151" t="s">
        <v>1791</v>
      </c>
      <c r="I11" s="6" t="n">
        <f aca="false">IFERROR(INDEX(Species!$U$2:$U$186,MATCH(B11,Species!$B$2:$B$186,0)),0)+IFERROR(INDEX(Species!$U$2:$U$186,MATCH(C11,Species!$B$2:$B$186,0)),0)+IFERROR(INDEX(Species!$U$2:$U$186,MATCH(D11,Species!$B$2:$B$186,0)),0)</f>
        <v>335</v>
      </c>
      <c r="J11" s="6" t="n">
        <f aca="false">ROUND(I11*INDEX($M$3:$M$7,MATCH(H11,$L$3:$L$7,0)),0)</f>
        <v>2680</v>
      </c>
      <c r="L11" s="154"/>
      <c r="M11" s="154"/>
    </row>
    <row r="12" customFormat="false" ht="15" hidden="false" customHeight="false" outlineLevel="0" collapsed="false">
      <c r="A12" s="151" t="s">
        <v>1805</v>
      </c>
      <c r="B12" s="151" t="s">
        <v>922</v>
      </c>
      <c r="C12" s="151" t="s">
        <v>237</v>
      </c>
      <c r="D12" s="151" t="s">
        <v>304</v>
      </c>
      <c r="E12" s="151" t="s">
        <v>1530</v>
      </c>
      <c r="F12" s="151" t="s">
        <v>1806</v>
      </c>
      <c r="G12" s="151" t="s">
        <v>1807</v>
      </c>
      <c r="H12" s="151" t="s">
        <v>1791</v>
      </c>
      <c r="I12" s="6" t="n">
        <f aca="false">IFERROR(INDEX(Species!$U$2:$U$186,MATCH(B12,Species!$B$2:$B$186,0)),0)+IFERROR(INDEX(Species!$U$2:$U$186,MATCH(C12,Species!$B$2:$B$186,0)),0)+IFERROR(INDEX(Species!$U$2:$U$186,MATCH(D12,Species!$B$2:$B$186,0)),0)</f>
        <v>346</v>
      </c>
      <c r="J12" s="6" t="n">
        <f aca="false">ROUND(I12*INDEX($M$3:$M$7,MATCH(H12,$L$3:$L$7,0)),0)</f>
        <v>2768</v>
      </c>
      <c r="L12" s="154"/>
      <c r="M12" s="154"/>
    </row>
    <row r="13" customFormat="false" ht="23.85" hidden="false" customHeight="false" outlineLevel="0" collapsed="false">
      <c r="A13" s="151" t="s">
        <v>1808</v>
      </c>
      <c r="B13" s="151" t="s">
        <v>914</v>
      </c>
      <c r="C13" s="151" t="s">
        <v>534</v>
      </c>
      <c r="D13" s="151" t="s">
        <v>927</v>
      </c>
      <c r="E13" s="151" t="s">
        <v>1809</v>
      </c>
      <c r="F13" s="151" t="s">
        <v>1810</v>
      </c>
      <c r="G13" s="151" t="s">
        <v>1811</v>
      </c>
      <c r="H13" s="151" t="s">
        <v>1791</v>
      </c>
      <c r="I13" s="6" t="n">
        <f aca="false">IFERROR(INDEX(Species!$U$2:$U$186,MATCH(B13,Species!$B$2:$B$186,0)),0)+IFERROR(INDEX(Species!$U$2:$U$186,MATCH(C13,Species!$B$2:$B$186,0)),0)+IFERROR(INDEX(Species!$U$2:$U$186,MATCH(D13,Species!$B$2:$B$186,0)),0)</f>
        <v>649</v>
      </c>
      <c r="J13" s="6" t="n">
        <f aca="false">ROUND(I13*INDEX($M$3:$M$7,MATCH(H13,$L$3:$L$7,0)),0)</f>
        <v>5192</v>
      </c>
    </row>
    <row r="14" customFormat="false" ht="15" hidden="false" customHeight="false" outlineLevel="0" collapsed="false">
      <c r="A14" s="151" t="s">
        <v>1812</v>
      </c>
      <c r="B14" s="151" t="s">
        <v>167</v>
      </c>
      <c r="C14" s="151" t="s">
        <v>469</v>
      </c>
      <c r="D14" s="151" t="s">
        <v>304</v>
      </c>
      <c r="E14" s="151" t="s">
        <v>1572</v>
      </c>
      <c r="F14" s="151" t="s">
        <v>1813</v>
      </c>
      <c r="G14" s="151" t="s">
        <v>1814</v>
      </c>
      <c r="H14" s="151" t="s">
        <v>1779</v>
      </c>
      <c r="I14" s="6" t="n">
        <f aca="false">IFERROR(INDEX(Species!$U$2:$U$186,MATCH(B14,Species!$B$2:$B$186,0)),0)+IFERROR(INDEX(Species!$U$2:$U$186,MATCH(C14,Species!$B$2:$B$186,0)),0)+IFERROR(INDEX(Species!$U$2:$U$186,MATCH(D14,Species!$B$2:$B$186,0)),0)</f>
        <v>34</v>
      </c>
      <c r="J14" s="6" t="n">
        <f aca="false">ROUND(I14*INDEX($M$3:$M$7,MATCH(H14,$L$3:$L$7,0)),0)</f>
        <v>68</v>
      </c>
    </row>
    <row r="15" customFormat="false" ht="15" hidden="false" customHeight="false" outlineLevel="0" collapsed="false">
      <c r="A15" s="151" t="s">
        <v>1815</v>
      </c>
      <c r="B15" s="151" t="s">
        <v>187</v>
      </c>
      <c r="C15" s="151" t="s">
        <v>1416</v>
      </c>
      <c r="D15" s="151" t="s">
        <v>1416</v>
      </c>
      <c r="E15" s="151" t="s">
        <v>1579</v>
      </c>
      <c r="F15" s="151" t="s">
        <v>1816</v>
      </c>
      <c r="G15" s="151" t="s">
        <v>1817</v>
      </c>
      <c r="H15" s="151" t="s">
        <v>1772</v>
      </c>
      <c r="I15" s="6" t="n">
        <f aca="false">IFERROR(INDEX(Species!$U$2:$U$186,MATCH(B15,Species!$B$2:$B$186,0)),0)+IFERROR(INDEX(Species!$U$2:$U$186,MATCH(C15,Species!$B$2:$B$186,0)),0)+IFERROR(INDEX(Species!$U$2:$U$186,MATCH(D15,Species!$B$2:$B$186,0)),0)</f>
        <v>13</v>
      </c>
      <c r="J15" s="6" t="n">
        <f aca="false">ROUND(I15*INDEX($M$3:$M$7,MATCH(H15,$L$3:$L$7,0)),0)</f>
        <v>20</v>
      </c>
    </row>
    <row r="16" customFormat="false" ht="15" hidden="false" customHeight="false" outlineLevel="0" collapsed="false">
      <c r="A16" s="151" t="s">
        <v>1818</v>
      </c>
      <c r="B16" s="151" t="s">
        <v>181</v>
      </c>
      <c r="C16" s="151" t="s">
        <v>502</v>
      </c>
      <c r="D16" s="151" t="s">
        <v>1754</v>
      </c>
      <c r="E16" s="151" t="s">
        <v>1593</v>
      </c>
      <c r="F16" s="151" t="s">
        <v>1819</v>
      </c>
      <c r="G16" s="151" t="s">
        <v>1820</v>
      </c>
      <c r="H16" s="151" t="s">
        <v>1779</v>
      </c>
      <c r="I16" s="6" t="n">
        <f aca="false">IFERROR(INDEX(Species!$U$2:$U$186,MATCH(B16,Species!$B$2:$B$186,0)),0)+IFERROR(INDEX(Species!$U$2:$U$186,MATCH(C16,Species!$B$2:$B$186,0)),0)+IFERROR(INDEX(Species!$U$2:$U$186,MATCH(D16,Species!$B$2:$B$186,0)),0)</f>
        <v>55</v>
      </c>
      <c r="J16" s="6" t="n">
        <f aca="false">ROUND(I16*INDEX($M$3:$M$7,MATCH(H16,$L$3:$L$7,0)),0)</f>
        <v>110</v>
      </c>
    </row>
  </sheetData>
  <mergeCells count="1">
    <mergeCell ref="L9:M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6"/>
  </cols>
  <sheetData>
    <row r="1" customFormat="false" ht="19.7" hidden="false" customHeight="false" outlineLevel="0" collapsed="false">
      <c r="A1" s="1" t="s">
        <v>1821</v>
      </c>
    </row>
    <row r="3" customFormat="false" ht="26.85" hidden="false" customHeight="false" outlineLevel="0" collapsed="false">
      <c r="A3" s="4" t="s">
        <v>22</v>
      </c>
      <c r="B3" s="4" t="s">
        <v>1822</v>
      </c>
      <c r="C3" s="4" t="s">
        <v>1823</v>
      </c>
      <c r="D3" s="4" t="s">
        <v>1824</v>
      </c>
      <c r="E3" s="4" t="s">
        <v>1629</v>
      </c>
      <c r="F3" s="4" t="s">
        <v>1825</v>
      </c>
    </row>
    <row r="4" customFormat="false" ht="15" hidden="false" customHeight="false" outlineLevel="0" collapsed="false">
      <c r="A4" s="6" t="s">
        <v>45</v>
      </c>
      <c r="B4" s="6" t="n">
        <f aca="false">COUNTIF(Species!$D$2:$D$186,A4)</f>
        <v>100</v>
      </c>
      <c r="C4" s="155" t="n">
        <f aca="false">B4/$B$7</f>
        <v>0.540540540540541</v>
      </c>
      <c r="D4" s="156" t="n">
        <v>0.6</v>
      </c>
      <c r="E4" s="152" t="n">
        <f aca="false">AVERAGEIF(Species!$D$2:$D$186,A4,Species!$P$2:$P$186)</f>
        <v>1.02</v>
      </c>
      <c r="F4" s="157" t="n">
        <f aca="false">AVERAGEIF(Species!$D$2:$D$186,A4,Species!$U$2:$U$186)</f>
        <v>11.07</v>
      </c>
    </row>
    <row r="5" customFormat="false" ht="15" hidden="false" customHeight="false" outlineLevel="0" collapsed="false">
      <c r="A5" s="6" t="s">
        <v>77</v>
      </c>
      <c r="B5" s="6" t="n">
        <f aca="false">COUNTIF(Species!$D$2:$D$186,A5)</f>
        <v>71</v>
      </c>
      <c r="C5" s="155" t="n">
        <f aca="false">B5/$B$7</f>
        <v>0.383783783783784</v>
      </c>
      <c r="D5" s="156" t="n">
        <v>0.3</v>
      </c>
      <c r="E5" s="152" t="n">
        <f aca="false">AVERAGEIF(Species!$D$2:$D$186,A5,Species!$P$2:$P$186)</f>
        <v>1.88732394366197</v>
      </c>
      <c r="F5" s="157" t="n">
        <f aca="false">AVERAGEIF(Species!$D$2:$D$186,A5,Species!$U$2:$U$186)</f>
        <v>36.9718309859155</v>
      </c>
    </row>
    <row r="6" customFormat="false" ht="15" hidden="false" customHeight="false" outlineLevel="0" collapsed="false">
      <c r="A6" s="6" t="s">
        <v>393</v>
      </c>
      <c r="B6" s="6" t="n">
        <f aca="false">COUNTIF(Species!$D$2:$D$186,A6)</f>
        <v>14</v>
      </c>
      <c r="C6" s="155" t="n">
        <f aca="false">B6/$B$7</f>
        <v>0.0756756756756757</v>
      </c>
      <c r="D6" s="156" t="n">
        <v>0.1</v>
      </c>
      <c r="E6" s="152" t="n">
        <f aca="false">AVERAGEIF(Species!$D$2:$D$186,A6,Species!$P$2:$P$186)</f>
        <v>1.78571428571429</v>
      </c>
      <c r="F6" s="157" t="n">
        <f aca="false">AVERAGEIF(Species!$D$2:$D$186,A6,Species!$U$2:$U$186)</f>
        <v>282.142857142857</v>
      </c>
    </row>
    <row r="7" customFormat="false" ht="15" hidden="false" customHeight="false" outlineLevel="0" collapsed="false">
      <c r="A7" s="2" t="s">
        <v>1826</v>
      </c>
      <c r="B7" s="2" t="n">
        <f aca="false">SUM(B4:B6)</f>
        <v>185</v>
      </c>
    </row>
    <row r="9" customFormat="false" ht="15" hidden="false" customHeight="false" outlineLevel="0" collapsed="false">
      <c r="A9" s="6" t="s">
        <v>1827</v>
      </c>
      <c r="B9" s="6" t="n">
        <f aca="false">COUNTIF(Species!$P$2:$P$186,"&gt;=5")</f>
        <v>25</v>
      </c>
    </row>
    <row r="10" customFormat="false" ht="15" hidden="false" customHeight="false" outlineLevel="0" collapsed="false">
      <c r="A10" s="6" t="s">
        <v>1828</v>
      </c>
      <c r="B10" s="6" t="n">
        <f aca="false">COUNTIF(Species!$P$2:$P$186,"&gt;=9")</f>
        <v>5</v>
      </c>
    </row>
    <row r="11" customFormat="false" ht="15" hidden="false" customHeight="false" outlineLevel="0" collapsed="false">
      <c r="A11" s="6" t="s">
        <v>15</v>
      </c>
      <c r="B11" s="6" t="n">
        <f aca="false">COUNTIF(Species!$C$2:$C$186,"*fictional*")</f>
        <v>9</v>
      </c>
    </row>
    <row r="12" customFormat="false" ht="15" hidden="false" customHeight="false" outlineLevel="0" collapsed="false">
      <c r="A12" s="6" t="s">
        <v>1829</v>
      </c>
      <c r="B12" s="6" t="n">
        <f aca="false">MAX('Seasonal Calendar'!C188:N188)</f>
        <v>127</v>
      </c>
    </row>
    <row r="13" customFormat="false" ht="15" hidden="false" customHeight="false" outlineLevel="0" collapsed="false">
      <c r="A13" s="6" t="s">
        <v>1830</v>
      </c>
      <c r="B13" s="6" t="n">
        <f aca="false">MIN('Seasonal Calendar'!C188:N188)</f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2026-10-03T22:41:37Z</dcterms:created>
  <dc:creator>openpyxl</dc:creator>
  <dc:description/>
  <dc:language>en-US</dc:language>
  <cp:lastModifiedBy/>
  <dcterms:modified xsi:type="dcterms:W3CDTF">2026-10-03T22:41:37Z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